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3.xml" ContentType="application/vnd.openxmlformats-officedocument.drawing+xml"/>
  <Override PartName="/xl/ctrlProps/ctrlProp31.xml" ContentType="application/vnd.ms-excel.controlproperties+xml"/>
  <Override PartName="/xl/drawings/drawing4.xml" ContentType="application/vnd.openxmlformats-officedocument.drawing+xml"/>
  <Override PartName="/xl/ctrlProps/ctrlProp3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CS50\2\"/>
    </mc:Choice>
  </mc:AlternateContent>
  <xr:revisionPtr revIDLastSave="0" documentId="13_ncr:1_{FD85FBA1-688C-4755-8DFD-9DC13C28D1D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工作図" sheetId="1" r:id="rId1"/>
    <sheet name="入力ｼｰﾄ" sheetId="2" r:id="rId2"/>
    <sheet name="貼付けｼｰﾄ" sheetId="3" state="hidden" r:id="rId3"/>
    <sheet name="歯厚計算" sheetId="4" r:id="rId4"/>
    <sheet name="歯厚計算２" sheetId="5" r:id="rId5"/>
    <sheet name="計算結果" sheetId="13" r:id="rId6"/>
    <sheet name="条件表2" sheetId="11" r:id="rId7"/>
    <sheet name="逆算" sheetId="10" state="hidden" r:id="rId8"/>
    <sheet name="切込量" sheetId="9" state="hidden" r:id="rId9"/>
    <sheet name="Module1" sheetId="8" state="veryHidden" r:id=""/>
  </sheets>
  <functionGroups builtInGroupCount="19"/>
  <externalReferences>
    <externalReference r:id="rId10"/>
  </externalReferences>
  <definedNames>
    <definedName name="_xlnm.Print_Area" localSheetId="7">逆算!$A$1:$H$16</definedName>
    <definedName name="_xlnm.Print_Area" localSheetId="0">工作図!$A$1:$BF$69</definedName>
    <definedName name="_xlnm.Print_Area" localSheetId="6">条件表2!$A$4:$S$34</definedName>
    <definedName name="_xlnm.Print_Area" localSheetId="8">切込量!$B$3:$F$28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" l="1"/>
  <c r="G7" i="10" l="1"/>
  <c r="G6" i="10" s="1"/>
  <c r="G8" i="10"/>
  <c r="G9" i="10"/>
  <c r="G10" i="10"/>
  <c r="G11" i="10"/>
  <c r="C5" i="13"/>
  <c r="C6" i="13"/>
  <c r="C7" i="13"/>
  <c r="J53" i="1" s="1"/>
  <c r="C8" i="13"/>
  <c r="C9" i="13"/>
  <c r="C10" i="13"/>
  <c r="C11" i="13"/>
  <c r="C13" i="13"/>
  <c r="C20" i="13"/>
  <c r="C24" i="13" s="1"/>
  <c r="T52" i="1" s="1"/>
  <c r="E1" i="1"/>
  <c r="X7" i="1"/>
  <c r="S9" i="1"/>
  <c r="AA9" i="1"/>
  <c r="AW13" i="1"/>
  <c r="AW15" i="1"/>
  <c r="AW17" i="1"/>
  <c r="AW19" i="1"/>
  <c r="AV28" i="1"/>
  <c r="AV29" i="1"/>
  <c r="AV30" i="1"/>
  <c r="AV31" i="1"/>
  <c r="AV32" i="1"/>
  <c r="W33" i="1"/>
  <c r="AE33" i="1"/>
  <c r="AV33" i="1"/>
  <c r="W34" i="1"/>
  <c r="AE34" i="1"/>
  <c r="AV34" i="1"/>
  <c r="W35" i="1"/>
  <c r="AE35" i="1"/>
  <c r="AV35" i="1"/>
  <c r="W36" i="1"/>
  <c r="AE36" i="1"/>
  <c r="AV36" i="1"/>
  <c r="W37" i="1"/>
  <c r="AE37" i="1"/>
  <c r="AV37" i="1"/>
  <c r="AV38" i="1"/>
  <c r="R45" i="1"/>
  <c r="T45" i="1" s="1"/>
  <c r="P45" i="1"/>
  <c r="V45" i="1"/>
  <c r="X45" i="1"/>
  <c r="AB45" i="1"/>
  <c r="AD45" i="1"/>
  <c r="C46" i="1"/>
  <c r="C47" i="1"/>
  <c r="C48" i="1"/>
  <c r="C49" i="1"/>
  <c r="C50" i="1"/>
  <c r="H53" i="1"/>
  <c r="N53" i="1"/>
  <c r="M62" i="1"/>
  <c r="C4" i="4"/>
  <c r="E4" i="4"/>
  <c r="E5" i="4" s="1"/>
  <c r="E6" i="4" s="1"/>
  <c r="E7" i="4" s="1"/>
  <c r="E8" i="4" s="1"/>
  <c r="E9" i="4" s="1"/>
  <c r="E10" i="4" s="1"/>
  <c r="E11" i="4" s="1"/>
  <c r="F4" i="4"/>
  <c r="F5" i="4" s="1"/>
  <c r="F6" i="4" s="1"/>
  <c r="F7" i="4" s="1"/>
  <c r="C5" i="4"/>
  <c r="AG4" i="4"/>
  <c r="C6" i="4"/>
  <c r="C14" i="4"/>
  <c r="D15" i="4"/>
  <c r="D16" i="4"/>
  <c r="D17" i="4"/>
  <c r="D18" i="4"/>
  <c r="C4" i="5"/>
  <c r="E4" i="5"/>
  <c r="E5" i="5" s="1"/>
  <c r="E6" i="5" s="1"/>
  <c r="E7" i="5" s="1"/>
  <c r="E8" i="5" s="1"/>
  <c r="E9" i="5" s="1"/>
  <c r="E10" i="5" s="1"/>
  <c r="E11" i="5" s="1"/>
  <c r="F4" i="5"/>
  <c r="F5" i="5" s="1"/>
  <c r="C5" i="5"/>
  <c r="C6" i="5"/>
  <c r="C14" i="5" s="1"/>
  <c r="D15" i="5"/>
  <c r="D16" i="5"/>
  <c r="D17" i="5"/>
  <c r="D18" i="5"/>
  <c r="F4" i="11"/>
  <c r="D10" i="9"/>
  <c r="E10" i="9"/>
  <c r="D11" i="9"/>
  <c r="E11" i="9"/>
  <c r="D12" i="9"/>
  <c r="E12" i="9"/>
  <c r="D13" i="9"/>
  <c r="E13" i="9"/>
  <c r="D14" i="9"/>
  <c r="E14" i="9"/>
  <c r="D15" i="9"/>
  <c r="E15" i="9"/>
  <c r="D16" i="9"/>
  <c r="E16" i="9"/>
  <c r="D17" i="9"/>
  <c r="E17" i="9"/>
  <c r="D18" i="9"/>
  <c r="E18" i="9"/>
  <c r="D19" i="9"/>
  <c r="E19" i="9"/>
  <c r="D20" i="9"/>
  <c r="E20" i="9"/>
  <c r="D21" i="9"/>
  <c r="E21" i="9"/>
  <c r="D22" i="9"/>
  <c r="E22" i="9"/>
  <c r="D23" i="9"/>
  <c r="E23" i="9"/>
  <c r="D24" i="9"/>
  <c r="E24" i="9"/>
  <c r="D25" i="9"/>
  <c r="E25" i="9"/>
  <c r="K3" i="2"/>
  <c r="Y7" i="2"/>
  <c r="Y8" i="2"/>
  <c r="Y9" i="2"/>
  <c r="Y10" i="2"/>
  <c r="Y11" i="2"/>
  <c r="Y12" i="2"/>
  <c r="Y13" i="2"/>
  <c r="Y14" i="2"/>
  <c r="L53" i="1" l="1"/>
  <c r="F53" i="1"/>
  <c r="AG5" i="4"/>
  <c r="AG4" i="5"/>
  <c r="F6" i="5"/>
  <c r="F7" i="5" s="1"/>
  <c r="F8" i="4"/>
  <c r="AG7" i="4" s="1"/>
  <c r="AF45" i="1"/>
  <c r="Z45" i="1"/>
  <c r="C16" i="13"/>
  <c r="C17" i="13"/>
  <c r="C19" i="13"/>
  <c r="D46" i="1" s="1"/>
  <c r="C15" i="5"/>
  <c r="C16" i="5"/>
  <c r="C17" i="5"/>
  <c r="C18" i="5" s="1"/>
  <c r="C15" i="4"/>
  <c r="C16" i="4"/>
  <c r="C17" i="4"/>
  <c r="C18" i="4" s="1"/>
  <c r="AG6" i="4"/>
  <c r="D48" i="1" l="1"/>
  <c r="X48" i="1" s="1"/>
  <c r="AF52" i="1" s="1"/>
  <c r="AG5" i="5"/>
  <c r="X46" i="1"/>
  <c r="R46" i="1"/>
  <c r="V46" i="1"/>
  <c r="AD46" i="1"/>
  <c r="T46" i="1"/>
  <c r="P46" i="1"/>
  <c r="Z46" i="1"/>
  <c r="AF46" i="1"/>
  <c r="Z48" i="1"/>
  <c r="D50" i="1"/>
  <c r="F9" i="4"/>
  <c r="AG8" i="4" s="1"/>
  <c r="C15" i="13"/>
  <c r="E15" i="13" s="1"/>
  <c r="T53" i="1"/>
  <c r="AG6" i="5"/>
  <c r="N13" i="5"/>
  <c r="K7" i="5" s="1"/>
  <c r="M7" i="5" s="1"/>
  <c r="F8" i="5"/>
  <c r="AF48" i="1"/>
  <c r="N22" i="5"/>
  <c r="H13" i="5"/>
  <c r="K5" i="5" s="1"/>
  <c r="M5" i="5" s="1"/>
  <c r="K13" i="5"/>
  <c r="K6" i="5" s="1"/>
  <c r="M6" i="5" s="1"/>
  <c r="N16" i="5"/>
  <c r="E13" i="5"/>
  <c r="K4" i="5" s="1"/>
  <c r="M4" i="5" s="1"/>
  <c r="H16" i="5"/>
  <c r="V48" i="1"/>
  <c r="AD48" i="1"/>
  <c r="T13" i="4"/>
  <c r="K9" i="4" s="1"/>
  <c r="M9" i="4" s="1"/>
  <c r="E13" i="4"/>
  <c r="E18" i="4" s="1"/>
  <c r="Q13" i="4"/>
  <c r="K8" i="4" s="1"/>
  <c r="M8" i="4" s="1"/>
  <c r="K13" i="4"/>
  <c r="K6" i="4" s="1"/>
  <c r="M6" i="4" s="1"/>
  <c r="N13" i="4"/>
  <c r="K7" i="4" s="1"/>
  <c r="M7" i="4" s="1"/>
  <c r="H13" i="4"/>
  <c r="K5" i="4" s="1"/>
  <c r="M5" i="4" s="1"/>
  <c r="AB50" i="1"/>
  <c r="AB48" i="1"/>
  <c r="AF53" i="1" s="1"/>
  <c r="AB46" i="1"/>
  <c r="R48" i="1"/>
  <c r="Z53" i="1" s="1"/>
  <c r="H46" i="1"/>
  <c r="L46" i="1"/>
  <c r="H48" i="1"/>
  <c r="L48" i="1"/>
  <c r="H50" i="1"/>
  <c r="L50" i="1"/>
  <c r="E8" i="11"/>
  <c r="G8" i="11" s="1"/>
  <c r="G21" i="11" s="1"/>
  <c r="E9" i="11"/>
  <c r="F9" i="11" s="1"/>
  <c r="F22" i="11" s="1"/>
  <c r="J46" i="1"/>
  <c r="J48" i="1"/>
  <c r="J50" i="1"/>
  <c r="J9" i="11"/>
  <c r="J22" i="11" s="1"/>
  <c r="N46" i="1"/>
  <c r="D47" i="1"/>
  <c r="F47" i="1" s="1"/>
  <c r="N48" i="1"/>
  <c r="D49" i="1"/>
  <c r="H49" i="1" s="1"/>
  <c r="N50" i="1"/>
  <c r="K9" i="11"/>
  <c r="K22" i="11" s="1"/>
  <c r="E10" i="11"/>
  <c r="G10" i="11" s="1"/>
  <c r="G23" i="11" s="1"/>
  <c r="E12" i="11"/>
  <c r="M12" i="11" s="1"/>
  <c r="M25" i="11" s="1"/>
  <c r="E14" i="11"/>
  <c r="G14" i="11" s="1"/>
  <c r="G27" i="11" s="1"/>
  <c r="E16" i="11"/>
  <c r="O16" i="11" s="1"/>
  <c r="O29" i="11" s="1"/>
  <c r="F46" i="1"/>
  <c r="L47" i="1"/>
  <c r="F48" i="1"/>
  <c r="F50" i="1"/>
  <c r="I9" i="11"/>
  <c r="I22" i="11" s="1"/>
  <c r="E11" i="11"/>
  <c r="N11" i="11" s="1"/>
  <c r="N24" i="11" s="1"/>
  <c r="O12" i="11"/>
  <c r="O25" i="11" s="1"/>
  <c r="E13" i="11"/>
  <c r="N13" i="11" s="1"/>
  <c r="N26" i="11" s="1"/>
  <c r="E15" i="11"/>
  <c r="N15" i="11" s="1"/>
  <c r="N28" i="11" s="1"/>
  <c r="E17" i="11"/>
  <c r="J17" i="11" s="1"/>
  <c r="J30" i="11" s="1"/>
  <c r="I17" i="11"/>
  <c r="I30" i="11" s="1"/>
  <c r="E18" i="11"/>
  <c r="K18" i="11" s="1"/>
  <c r="K31" i="11" s="1"/>
  <c r="E16" i="13"/>
  <c r="C18" i="13"/>
  <c r="C25" i="13" s="1"/>
  <c r="O16" i="5"/>
  <c r="I16" i="5"/>
  <c r="F18" i="4"/>
  <c r="O10" i="11" l="1"/>
  <c r="O23" i="11" s="1"/>
  <c r="L49" i="1"/>
  <c r="P48" i="1"/>
  <c r="T48" i="1"/>
  <c r="M16" i="11"/>
  <c r="M29" i="11" s="1"/>
  <c r="K13" i="11"/>
  <c r="K26" i="11" s="1"/>
  <c r="J13" i="11"/>
  <c r="J26" i="11" s="1"/>
  <c r="N9" i="11"/>
  <c r="N22" i="11" s="1"/>
  <c r="O17" i="11"/>
  <c r="O30" i="11" s="1"/>
  <c r="M13" i="11"/>
  <c r="M26" i="11" s="1"/>
  <c r="F13" i="11"/>
  <c r="F26" i="11" s="1"/>
  <c r="N47" i="1"/>
  <c r="M17" i="11"/>
  <c r="M30" i="11" s="1"/>
  <c r="G16" i="11"/>
  <c r="G29" i="11" s="1"/>
  <c r="I13" i="11"/>
  <c r="I26" i="11" s="1"/>
  <c r="I11" i="11"/>
  <c r="I24" i="11" s="1"/>
  <c r="J11" i="11"/>
  <c r="J24" i="11" s="1"/>
  <c r="H47" i="1"/>
  <c r="H17" i="5"/>
  <c r="Q16" i="4"/>
  <c r="K17" i="5"/>
  <c r="N18" i="5"/>
  <c r="E17" i="4"/>
  <c r="O23" i="4"/>
  <c r="E16" i="4"/>
  <c r="P22" i="4"/>
  <c r="K23" i="4"/>
  <c r="G18" i="4"/>
  <c r="J16" i="5"/>
  <c r="P16" i="5"/>
  <c r="K15" i="4"/>
  <c r="K18" i="5"/>
  <c r="J15" i="11"/>
  <c r="J28" i="11" s="1"/>
  <c r="J49" i="1"/>
  <c r="E15" i="5"/>
  <c r="C21" i="13"/>
  <c r="M15" i="11"/>
  <c r="M28" i="11" s="1"/>
  <c r="O14" i="11"/>
  <c r="O27" i="11" s="1"/>
  <c r="G12" i="11"/>
  <c r="G25" i="11" s="1"/>
  <c r="N17" i="11"/>
  <c r="N30" i="11" s="1"/>
  <c r="K11" i="11"/>
  <c r="K24" i="11" s="1"/>
  <c r="N8" i="11"/>
  <c r="N21" i="11" s="1"/>
  <c r="F17" i="11"/>
  <c r="F30" i="11" s="1"/>
  <c r="F15" i="11"/>
  <c r="F28" i="11" s="1"/>
  <c r="F11" i="11"/>
  <c r="F24" i="11" s="1"/>
  <c r="K17" i="4"/>
  <c r="K16" i="4"/>
  <c r="M23" i="4"/>
  <c r="E16" i="5"/>
  <c r="E18" i="5"/>
  <c r="K17" i="11"/>
  <c r="K30" i="11" s="1"/>
  <c r="I15" i="11"/>
  <c r="I28" i="11" s="1"/>
  <c r="M11" i="11"/>
  <c r="M24" i="11" s="1"/>
  <c r="K15" i="11"/>
  <c r="K28" i="11" s="1"/>
  <c r="H8" i="11"/>
  <c r="H21" i="11" s="1"/>
  <c r="Q15" i="4"/>
  <c r="T17" i="4"/>
  <c r="T18" i="4"/>
  <c r="K18" i="4"/>
  <c r="F10" i="4"/>
  <c r="F11" i="4" s="1"/>
  <c r="E17" i="5"/>
  <c r="N15" i="5"/>
  <c r="N17" i="5"/>
  <c r="N23" i="5"/>
  <c r="N24" i="5" s="1"/>
  <c r="N25" i="5" s="1"/>
  <c r="L7" i="5" s="1"/>
  <c r="L23" i="5"/>
  <c r="X50" i="1"/>
  <c r="T50" i="1"/>
  <c r="R50" i="1"/>
  <c r="P50" i="1"/>
  <c r="V50" i="1"/>
  <c r="AF50" i="1"/>
  <c r="AD50" i="1"/>
  <c r="Z50" i="1"/>
  <c r="Q18" i="11"/>
  <c r="U18" i="11"/>
  <c r="Y18" i="11"/>
  <c r="AC18" i="11"/>
  <c r="AG18" i="11"/>
  <c r="S18" i="11"/>
  <c r="W18" i="11"/>
  <c r="AA18" i="11"/>
  <c r="AE18" i="11"/>
  <c r="AF18" i="11"/>
  <c r="AB18" i="11"/>
  <c r="X18" i="11"/>
  <c r="T18" i="11"/>
  <c r="P18" i="11"/>
  <c r="AH18" i="11"/>
  <c r="AD18" i="11"/>
  <c r="Z18" i="11"/>
  <c r="V18" i="11"/>
  <c r="R18" i="11"/>
  <c r="S16" i="11"/>
  <c r="W16" i="11"/>
  <c r="AA16" i="11"/>
  <c r="AE16" i="11"/>
  <c r="P16" i="11"/>
  <c r="T16" i="11"/>
  <c r="X16" i="11"/>
  <c r="AB16" i="11"/>
  <c r="AF16" i="11"/>
  <c r="AC16" i="11"/>
  <c r="U16" i="11"/>
  <c r="R16" i="11"/>
  <c r="V16" i="11"/>
  <c r="Z16" i="11"/>
  <c r="AD16" i="11"/>
  <c r="AH16" i="11"/>
  <c r="AG16" i="11"/>
  <c r="Y16" i="11"/>
  <c r="Q16" i="11"/>
  <c r="S14" i="11"/>
  <c r="W14" i="11"/>
  <c r="AA14" i="11"/>
  <c r="AE14" i="11"/>
  <c r="P14" i="11"/>
  <c r="T14" i="11"/>
  <c r="X14" i="11"/>
  <c r="AB14" i="11"/>
  <c r="AF14" i="11"/>
  <c r="AG14" i="11"/>
  <c r="Y14" i="11"/>
  <c r="Q14" i="11"/>
  <c r="R14" i="11"/>
  <c r="V14" i="11"/>
  <c r="Z14" i="11"/>
  <c r="AD14" i="11"/>
  <c r="AH14" i="11"/>
  <c r="AC14" i="11"/>
  <c r="U14" i="11"/>
  <c r="S12" i="11"/>
  <c r="W12" i="11"/>
  <c r="AA12" i="11"/>
  <c r="AE12" i="11"/>
  <c r="P12" i="11"/>
  <c r="T12" i="11"/>
  <c r="X12" i="11"/>
  <c r="AB12" i="11"/>
  <c r="AF12" i="11"/>
  <c r="AC12" i="11"/>
  <c r="U12" i="11"/>
  <c r="R12" i="11"/>
  <c r="V12" i="11"/>
  <c r="Z12" i="11"/>
  <c r="AD12" i="11"/>
  <c r="AH12" i="11"/>
  <c r="AG12" i="11"/>
  <c r="Y12" i="11"/>
  <c r="Q12" i="11"/>
  <c r="S10" i="11"/>
  <c r="W10" i="11"/>
  <c r="AA10" i="11"/>
  <c r="AE10" i="11"/>
  <c r="P10" i="11"/>
  <c r="T10" i="11"/>
  <c r="X10" i="11"/>
  <c r="AB10" i="11"/>
  <c r="AF10" i="11"/>
  <c r="AG10" i="11"/>
  <c r="Y10" i="11"/>
  <c r="Q10" i="11"/>
  <c r="R10" i="11"/>
  <c r="V10" i="11"/>
  <c r="Z10" i="11"/>
  <c r="AD10" i="11"/>
  <c r="AH10" i="11"/>
  <c r="AC10" i="11"/>
  <c r="U10" i="11"/>
  <c r="L12" i="11"/>
  <c r="L25" i="11" s="1"/>
  <c r="H12" i="11"/>
  <c r="H25" i="11" s="1"/>
  <c r="L10" i="11"/>
  <c r="L23" i="11" s="1"/>
  <c r="Q9" i="11"/>
  <c r="U9" i="11"/>
  <c r="Y9" i="11"/>
  <c r="AC9" i="11"/>
  <c r="AG9" i="11"/>
  <c r="P9" i="11"/>
  <c r="T9" i="11"/>
  <c r="X9" i="11"/>
  <c r="AB9" i="11"/>
  <c r="AF9" i="11"/>
  <c r="AA9" i="11"/>
  <c r="S9" i="11"/>
  <c r="R9" i="11"/>
  <c r="V9" i="11"/>
  <c r="Z9" i="11"/>
  <c r="AD9" i="11"/>
  <c r="AH9" i="11"/>
  <c r="AE9" i="11"/>
  <c r="W9" i="11"/>
  <c r="M8" i="11"/>
  <c r="M21" i="11" s="1"/>
  <c r="I8" i="11"/>
  <c r="I21" i="11" s="1"/>
  <c r="N15" i="4"/>
  <c r="N18" i="4"/>
  <c r="H18" i="4"/>
  <c r="N22" i="4"/>
  <c r="L22" i="4"/>
  <c r="W13" i="4"/>
  <c r="L22" i="5"/>
  <c r="AG7" i="5"/>
  <c r="F9" i="5"/>
  <c r="Q13" i="5"/>
  <c r="C23" i="13"/>
  <c r="C29" i="13" s="1"/>
  <c r="C22" i="13"/>
  <c r="C27" i="13" s="1"/>
  <c r="C26" i="13"/>
  <c r="C28" i="13"/>
  <c r="O18" i="11"/>
  <c r="O31" i="11" s="1"/>
  <c r="G18" i="11"/>
  <c r="G31" i="11" s="1"/>
  <c r="I18" i="11"/>
  <c r="I31" i="11" s="1"/>
  <c r="Q17" i="11"/>
  <c r="S17" i="11"/>
  <c r="W17" i="11"/>
  <c r="AA17" i="11"/>
  <c r="AE17" i="11"/>
  <c r="U17" i="11"/>
  <c r="Y17" i="11"/>
  <c r="AC17" i="11"/>
  <c r="AG17" i="11"/>
  <c r="AF17" i="11"/>
  <c r="AB17" i="11"/>
  <c r="X17" i="11"/>
  <c r="T17" i="11"/>
  <c r="P17" i="11"/>
  <c r="AH17" i="11"/>
  <c r="AD17" i="11"/>
  <c r="Z17" i="11"/>
  <c r="V17" i="11"/>
  <c r="R17" i="11"/>
  <c r="K16" i="11"/>
  <c r="K29" i="11" s="1"/>
  <c r="Q15" i="11"/>
  <c r="U15" i="11"/>
  <c r="Y15" i="11"/>
  <c r="AC15" i="11"/>
  <c r="AG15" i="11"/>
  <c r="P15" i="11"/>
  <c r="T15" i="11"/>
  <c r="X15" i="11"/>
  <c r="AB15" i="11"/>
  <c r="AF15" i="11"/>
  <c r="AE15" i="11"/>
  <c r="W15" i="11"/>
  <c r="R15" i="11"/>
  <c r="V15" i="11"/>
  <c r="Z15" i="11"/>
  <c r="AD15" i="11"/>
  <c r="AH15" i="11"/>
  <c r="AA15" i="11"/>
  <c r="S15" i="11"/>
  <c r="K14" i="11"/>
  <c r="K27" i="11" s="1"/>
  <c r="Q13" i="11"/>
  <c r="U13" i="11"/>
  <c r="Y13" i="11"/>
  <c r="AC13" i="11"/>
  <c r="AG13" i="11"/>
  <c r="P13" i="11"/>
  <c r="T13" i="11"/>
  <c r="X13" i="11"/>
  <c r="AB13" i="11"/>
  <c r="AF13" i="11"/>
  <c r="AA13" i="11"/>
  <c r="S13" i="11"/>
  <c r="R13" i="11"/>
  <c r="V13" i="11"/>
  <c r="Z13" i="11"/>
  <c r="AD13" i="11"/>
  <c r="AH13" i="11"/>
  <c r="AE13" i="11"/>
  <c r="W13" i="11"/>
  <c r="K12" i="11"/>
  <c r="K25" i="11" s="1"/>
  <c r="Q11" i="11"/>
  <c r="U11" i="11"/>
  <c r="Y11" i="11"/>
  <c r="AC11" i="11"/>
  <c r="AG11" i="11"/>
  <c r="P11" i="11"/>
  <c r="T11" i="11"/>
  <c r="X11" i="11"/>
  <c r="AB11" i="11"/>
  <c r="AF11" i="11"/>
  <c r="AE11" i="11"/>
  <c r="W11" i="11"/>
  <c r="R11" i="11"/>
  <c r="V11" i="11"/>
  <c r="Z11" i="11"/>
  <c r="AD11" i="11"/>
  <c r="AH11" i="11"/>
  <c r="AA11" i="11"/>
  <c r="S11" i="11"/>
  <c r="K10" i="11"/>
  <c r="K23" i="11" s="1"/>
  <c r="M9" i="11"/>
  <c r="M22" i="11" s="1"/>
  <c r="J8" i="11"/>
  <c r="J21" i="11" s="1"/>
  <c r="N18" i="11"/>
  <c r="N31" i="11" s="1"/>
  <c r="J18" i="11"/>
  <c r="J31" i="11" s="1"/>
  <c r="F18" i="11"/>
  <c r="F31" i="11" s="1"/>
  <c r="L17" i="11"/>
  <c r="L30" i="11" s="1"/>
  <c r="G17" i="11"/>
  <c r="G30" i="11" s="1"/>
  <c r="I16" i="11"/>
  <c r="I29" i="11" s="1"/>
  <c r="O15" i="11"/>
  <c r="O28" i="11" s="1"/>
  <c r="G15" i="11"/>
  <c r="G28" i="11" s="1"/>
  <c r="I14" i="11"/>
  <c r="I27" i="11" s="1"/>
  <c r="O13" i="11"/>
  <c r="O26" i="11" s="1"/>
  <c r="G13" i="11"/>
  <c r="G26" i="11" s="1"/>
  <c r="I12" i="11"/>
  <c r="I25" i="11" s="1"/>
  <c r="O11" i="11"/>
  <c r="O24" i="11" s="1"/>
  <c r="G11" i="11"/>
  <c r="G24" i="11" s="1"/>
  <c r="I10" i="11"/>
  <c r="I23" i="11" s="1"/>
  <c r="O9" i="11"/>
  <c r="O22" i="11" s="1"/>
  <c r="G9" i="11"/>
  <c r="G22" i="11" s="1"/>
  <c r="F8" i="11"/>
  <c r="F21" i="11" s="1"/>
  <c r="AD49" i="1"/>
  <c r="P49" i="1"/>
  <c r="X49" i="1"/>
  <c r="AF49" i="1"/>
  <c r="Z49" i="1"/>
  <c r="V49" i="1"/>
  <c r="T49" i="1"/>
  <c r="AB49" i="1"/>
  <c r="R49" i="1"/>
  <c r="AD47" i="1"/>
  <c r="P47" i="1"/>
  <c r="T47" i="1"/>
  <c r="AB47" i="1"/>
  <c r="Z47" i="1"/>
  <c r="V47" i="1"/>
  <c r="X47" i="1"/>
  <c r="AF47" i="1"/>
  <c r="R47" i="1"/>
  <c r="H17" i="11"/>
  <c r="H30" i="11" s="1"/>
  <c r="N16" i="11"/>
  <c r="N29" i="11" s="1"/>
  <c r="J16" i="11"/>
  <c r="J29" i="11" s="1"/>
  <c r="F16" i="11"/>
  <c r="F29" i="11" s="1"/>
  <c r="L15" i="11"/>
  <c r="L28" i="11" s="1"/>
  <c r="H15" i="11"/>
  <c r="H28" i="11" s="1"/>
  <c r="N14" i="11"/>
  <c r="N27" i="11" s="1"/>
  <c r="J14" i="11"/>
  <c r="J27" i="11" s="1"/>
  <c r="F14" i="11"/>
  <c r="F27" i="11" s="1"/>
  <c r="L13" i="11"/>
  <c r="L26" i="11" s="1"/>
  <c r="H13" i="11"/>
  <c r="H26" i="11" s="1"/>
  <c r="N12" i="11"/>
  <c r="N25" i="11" s="1"/>
  <c r="J12" i="11"/>
  <c r="J25" i="11" s="1"/>
  <c r="F12" i="11"/>
  <c r="F25" i="11" s="1"/>
  <c r="L11" i="11"/>
  <c r="L24" i="11" s="1"/>
  <c r="H11" i="11"/>
  <c r="H24" i="11" s="1"/>
  <c r="N10" i="11"/>
  <c r="N23" i="11" s="1"/>
  <c r="J10" i="11"/>
  <c r="J23" i="11" s="1"/>
  <c r="F10" i="11"/>
  <c r="F23" i="11" s="1"/>
  <c r="L9" i="11"/>
  <c r="L22" i="11" s="1"/>
  <c r="H9" i="11"/>
  <c r="H22" i="11" s="1"/>
  <c r="L8" i="11"/>
  <c r="L21" i="11" s="1"/>
  <c r="Z52" i="1"/>
  <c r="T41" i="1"/>
  <c r="O8" i="11"/>
  <c r="O21" i="11" s="1"/>
  <c r="K8" i="11"/>
  <c r="K21" i="11" s="1"/>
  <c r="N49" i="1"/>
  <c r="F49" i="1"/>
  <c r="J47" i="1"/>
  <c r="T16" i="4"/>
  <c r="H16" i="4"/>
  <c r="Q17" i="4"/>
  <c r="N16" i="4"/>
  <c r="N17" i="4"/>
  <c r="T15" i="4"/>
  <c r="H15" i="4"/>
  <c r="P23" i="4"/>
  <c r="Q18" i="4"/>
  <c r="N23" i="4"/>
  <c r="L23" i="4"/>
  <c r="K4" i="4"/>
  <c r="M4" i="4" s="1"/>
  <c r="E15" i="4"/>
  <c r="O22" i="4"/>
  <c r="M22" i="4"/>
  <c r="M24" i="4" s="1"/>
  <c r="M25" i="4" s="1"/>
  <c r="L6" i="4" s="1"/>
  <c r="K22" i="4"/>
  <c r="K24" i="4" s="1"/>
  <c r="K25" i="4" s="1"/>
  <c r="L4" i="4" s="1"/>
  <c r="AG9" i="4"/>
  <c r="H15" i="5"/>
  <c r="K15" i="5"/>
  <c r="K16" i="5"/>
  <c r="K23" i="5"/>
  <c r="M23" i="5"/>
  <c r="H18" i="5"/>
  <c r="K22" i="5"/>
  <c r="M22" i="5"/>
  <c r="M18" i="11"/>
  <c r="M31" i="11" s="1"/>
  <c r="L18" i="11"/>
  <c r="L31" i="11" s="1"/>
  <c r="H18" i="11"/>
  <c r="H31" i="11" s="1"/>
  <c r="M14" i="11"/>
  <c r="M27" i="11" s="1"/>
  <c r="M10" i="11"/>
  <c r="M23" i="11" s="1"/>
  <c r="L16" i="11"/>
  <c r="L29" i="11" s="1"/>
  <c r="H16" i="11"/>
  <c r="H29" i="11" s="1"/>
  <c r="L14" i="11"/>
  <c r="L27" i="11" s="1"/>
  <c r="H14" i="11"/>
  <c r="H27" i="11" s="1"/>
  <c r="H10" i="11"/>
  <c r="H23" i="11" s="1"/>
  <c r="R8" i="11"/>
  <c r="Z8" i="11"/>
  <c r="AH8" i="11"/>
  <c r="Q8" i="11"/>
  <c r="U8" i="11"/>
  <c r="Y8" i="11"/>
  <c r="AC8" i="11"/>
  <c r="AG8" i="11"/>
  <c r="T8" i="11"/>
  <c r="AB8" i="11"/>
  <c r="V8" i="11"/>
  <c r="S8" i="11"/>
  <c r="W8" i="11"/>
  <c r="AA8" i="11"/>
  <c r="AE8" i="11"/>
  <c r="P8" i="11"/>
  <c r="X8" i="11"/>
  <c r="AF8" i="11"/>
  <c r="AD8" i="11"/>
  <c r="H17" i="4"/>
  <c r="O24" i="4"/>
  <c r="O25" i="4" s="1"/>
  <c r="L8" i="4" s="1"/>
  <c r="I17" i="5"/>
  <c r="R16" i="4"/>
  <c r="L17" i="5"/>
  <c r="O18" i="5"/>
  <c r="F17" i="4"/>
  <c r="F16" i="4"/>
  <c r="F16" i="5"/>
  <c r="L18" i="5"/>
  <c r="F15" i="5"/>
  <c r="L16" i="4"/>
  <c r="U17" i="4"/>
  <c r="O17" i="5"/>
  <c r="O18" i="4"/>
  <c r="U16" i="4"/>
  <c r="O16" i="4"/>
  <c r="I15" i="4"/>
  <c r="I15" i="5"/>
  <c r="L15" i="4"/>
  <c r="L17" i="4"/>
  <c r="U18" i="4"/>
  <c r="F17" i="5"/>
  <c r="I18" i="4"/>
  <c r="O17" i="4"/>
  <c r="F15" i="4"/>
  <c r="L15" i="5"/>
  <c r="I17" i="4"/>
  <c r="F18" i="5"/>
  <c r="R15" i="4"/>
  <c r="L18" i="4"/>
  <c r="O15" i="5"/>
  <c r="O15" i="4"/>
  <c r="I16" i="4"/>
  <c r="R17" i="4"/>
  <c r="U15" i="4"/>
  <c r="R18" i="4"/>
  <c r="L16" i="5"/>
  <c r="I18" i="5"/>
  <c r="L24" i="4" l="1"/>
  <c r="L25" i="4" s="1"/>
  <c r="L5" i="4" s="1"/>
  <c r="P24" i="4"/>
  <c r="P25" i="4" s="1"/>
  <c r="L9" i="4" s="1"/>
  <c r="J17" i="5"/>
  <c r="S16" i="4"/>
  <c r="P18" i="5"/>
  <c r="M17" i="5"/>
  <c r="G16" i="4"/>
  <c r="G17" i="4"/>
  <c r="J18" i="5"/>
  <c r="M16" i="5"/>
  <c r="S18" i="4"/>
  <c r="V15" i="4"/>
  <c r="G9" i="4" s="1"/>
  <c r="S17" i="4"/>
  <c r="J16" i="4"/>
  <c r="P15" i="4"/>
  <c r="G7" i="4" s="1"/>
  <c r="P15" i="5"/>
  <c r="G7" i="5" s="1"/>
  <c r="M18" i="4"/>
  <c r="S15" i="4"/>
  <c r="G8" i="4" s="1"/>
  <c r="H8" i="4" s="1"/>
  <c r="G18" i="5"/>
  <c r="J17" i="4"/>
  <c r="M15" i="5"/>
  <c r="G6" i="5" s="1"/>
  <c r="G15" i="4"/>
  <c r="G4" i="4" s="1"/>
  <c r="P17" i="4"/>
  <c r="J18" i="4"/>
  <c r="G17" i="5"/>
  <c r="V18" i="4"/>
  <c r="M17" i="4"/>
  <c r="M15" i="4"/>
  <c r="G6" i="4" s="1"/>
  <c r="J15" i="5"/>
  <c r="G5" i="5" s="1"/>
  <c r="J15" i="4"/>
  <c r="G5" i="4" s="1"/>
  <c r="P16" i="4"/>
  <c r="V16" i="4"/>
  <c r="P18" i="4"/>
  <c r="P17" i="5"/>
  <c r="V17" i="4"/>
  <c r="M16" i="4"/>
  <c r="G15" i="5"/>
  <c r="G4" i="5" s="1"/>
  <c r="M18" i="5"/>
  <c r="G16" i="5"/>
  <c r="L24" i="5"/>
  <c r="L25" i="5" s="1"/>
  <c r="L5" i="5" s="1"/>
  <c r="N24" i="4"/>
  <c r="N25" i="4" s="1"/>
  <c r="L7" i="4" s="1"/>
  <c r="M24" i="5"/>
  <c r="M25" i="5" s="1"/>
  <c r="L6" i="5" s="1"/>
  <c r="K24" i="5"/>
  <c r="K25" i="5" s="1"/>
  <c r="L4" i="5" s="1"/>
  <c r="K8" i="5"/>
  <c r="M8" i="5" s="1"/>
  <c r="O22" i="5"/>
  <c r="O23" i="5"/>
  <c r="Q17" i="5"/>
  <c r="Q18" i="5"/>
  <c r="Q16" i="5"/>
  <c r="Q15" i="5"/>
  <c r="K10" i="4"/>
  <c r="M10" i="4" s="1"/>
  <c r="Q23" i="4"/>
  <c r="W15" i="4"/>
  <c r="Q22" i="4"/>
  <c r="W18" i="4"/>
  <c r="W16" i="4"/>
  <c r="W17" i="4"/>
  <c r="F10" i="5"/>
  <c r="AG8" i="5"/>
  <c r="T13" i="5"/>
  <c r="F12" i="4"/>
  <c r="AG11" i="4" s="1"/>
  <c r="Z13" i="4"/>
  <c r="AG10" i="4"/>
  <c r="R18" i="5"/>
  <c r="X17" i="4"/>
  <c r="X18" i="4"/>
  <c r="R16" i="5"/>
  <c r="R17" i="5"/>
  <c r="R15" i="5"/>
  <c r="X15" i="4"/>
  <c r="X16" i="4"/>
  <c r="H6" i="4" l="1"/>
  <c r="H4" i="4"/>
  <c r="H6" i="5"/>
  <c r="Y16" i="4"/>
  <c r="Y15" i="4"/>
  <c r="G10" i="4" s="1"/>
  <c r="H9" i="4" s="1"/>
  <c r="S15" i="5"/>
  <c r="G8" i="5" s="1"/>
  <c r="H7" i="5" s="1"/>
  <c r="S17" i="5"/>
  <c r="S16" i="5"/>
  <c r="Y18" i="4"/>
  <c r="Y17" i="4"/>
  <c r="S18" i="5"/>
  <c r="H4" i="5"/>
  <c r="H5" i="4"/>
  <c r="H5" i="5"/>
  <c r="H7" i="4"/>
  <c r="K9" i="5"/>
  <c r="M9" i="5" s="1"/>
  <c r="T18" i="5"/>
  <c r="T16" i="5"/>
  <c r="P22" i="5"/>
  <c r="P23" i="5"/>
  <c r="T17" i="5"/>
  <c r="T15" i="5"/>
  <c r="AG9" i="5"/>
  <c r="F11" i="5"/>
  <c r="W13" i="5"/>
  <c r="Q24" i="4"/>
  <c r="Q25" i="4" s="1"/>
  <c r="L10" i="4" s="1"/>
  <c r="O24" i="5"/>
  <c r="O25" i="5" s="1"/>
  <c r="L8" i="5" s="1"/>
  <c r="K11" i="4"/>
  <c r="M11" i="4" s="1"/>
  <c r="Z15" i="4"/>
  <c r="Z16" i="4"/>
  <c r="R23" i="4"/>
  <c r="Z17" i="4"/>
  <c r="R22" i="4"/>
  <c r="Z18" i="4"/>
  <c r="U16" i="5"/>
  <c r="U15" i="5"/>
  <c r="AA18" i="4"/>
  <c r="AA15" i="4"/>
  <c r="U17" i="5"/>
  <c r="AA16" i="4"/>
  <c r="U18" i="5"/>
  <c r="AA17" i="4"/>
  <c r="P24" i="5" l="1"/>
  <c r="P25" i="5" s="1"/>
  <c r="L9" i="5" s="1"/>
  <c r="AB17" i="4"/>
  <c r="V18" i="5"/>
  <c r="AB16" i="4"/>
  <c r="V17" i="5"/>
  <c r="AB15" i="4"/>
  <c r="G11" i="4" s="1"/>
  <c r="G12" i="4" s="1"/>
  <c r="H11" i="4" s="1"/>
  <c r="AB18" i="4"/>
  <c r="V15" i="5"/>
  <c r="G9" i="5" s="1"/>
  <c r="H8" i="5" s="1"/>
  <c r="V16" i="5"/>
  <c r="F12" i="5"/>
  <c r="AG11" i="5" s="1"/>
  <c r="AG10" i="5"/>
  <c r="Z13" i="5"/>
  <c r="R24" i="4"/>
  <c r="R25" i="4" s="1"/>
  <c r="L11" i="4" s="1"/>
  <c r="K10" i="5"/>
  <c r="M10" i="5" s="1"/>
  <c r="Q22" i="5"/>
  <c r="Q23" i="5"/>
  <c r="W15" i="5"/>
  <c r="W18" i="5"/>
  <c r="W16" i="5"/>
  <c r="W17" i="5"/>
  <c r="X15" i="5"/>
  <c r="X17" i="5"/>
  <c r="X18" i="5"/>
  <c r="X16" i="5"/>
  <c r="Y16" i="5" l="1"/>
  <c r="Y18" i="5"/>
  <c r="Y17" i="5"/>
  <c r="Y15" i="5"/>
  <c r="G10" i="5" s="1"/>
  <c r="H9" i="5" s="1"/>
  <c r="H10" i="4"/>
  <c r="Q24" i="5"/>
  <c r="Q25" i="5" s="1"/>
  <c r="L10" i="5" s="1"/>
  <c r="K11" i="5"/>
  <c r="M11" i="5" s="1"/>
  <c r="Z18" i="5"/>
  <c r="Z16" i="5"/>
  <c r="Z17" i="5"/>
  <c r="R22" i="5"/>
  <c r="R23" i="5"/>
  <c r="Z15" i="5"/>
  <c r="AA17" i="5"/>
  <c r="AA15" i="5"/>
  <c r="AA18" i="5"/>
  <c r="AA16" i="5"/>
  <c r="AB16" i="5" l="1"/>
  <c r="AB18" i="5"/>
  <c r="AB15" i="5"/>
  <c r="G11" i="5" s="1"/>
  <c r="AB17" i="5"/>
  <c r="R24" i="5"/>
  <c r="R25" i="5" s="1"/>
  <c r="L11" i="5" s="1"/>
  <c r="H10" i="5" l="1"/>
  <c r="G12" i="5"/>
  <c r="H11" i="5" s="1"/>
</calcChain>
</file>

<file path=xl/sharedStrings.xml><?xml version="1.0" encoding="utf-8"?>
<sst xmlns="http://schemas.openxmlformats.org/spreadsheetml/2006/main" count="496" uniqueCount="285">
  <si>
    <t xml:space="preserve"> </t>
  </si>
  <si>
    <t>工程名</t>
  </si>
  <si>
    <t>機械名</t>
  </si>
  <si>
    <t>シェービング盤</t>
  </si>
  <si>
    <t>作成年月日</t>
  </si>
  <si>
    <t>前工程</t>
  </si>
  <si>
    <t>後工程</t>
  </si>
  <si>
    <t>目 視</t>
  </si>
  <si>
    <t>１</t>
  </si>
  <si>
    <t>初１</t>
  </si>
  <si>
    <t>○</t>
  </si>
  <si>
    <t>↑</t>
  </si>
  <si>
    <t>１/２ｈ</t>
  </si>
  <si>
    <t xml:space="preserve"> 歯車試験機</t>
  </si>
  <si>
    <t>□</t>
  </si>
  <si>
    <t>1/200</t>
  </si>
  <si>
    <t>全数</t>
  </si>
  <si>
    <t>シェービングアーバー</t>
  </si>
  <si>
    <t>シェービングカッター</t>
  </si>
  <si>
    <t>モジュール</t>
  </si>
  <si>
    <t>圧  力  角</t>
  </si>
  <si>
    <t>歯       数</t>
  </si>
  <si>
    <t>a</t>
  </si>
  <si>
    <t>歯先圧力角</t>
  </si>
  <si>
    <t>f</t>
  </si>
  <si>
    <t>ｸﾗｳﾆﾝｸﾞ</t>
  </si>
  <si>
    <t>ネジレ角と方向</t>
  </si>
  <si>
    <t>b</t>
  </si>
  <si>
    <t>歯形凸修正</t>
  </si>
  <si>
    <t>g</t>
  </si>
  <si>
    <t>ｸﾗｳﾆﾝｸﾞ範囲</t>
  </si>
  <si>
    <t>シェービング加工長さ</t>
  </si>
  <si>
    <t>c</t>
  </si>
  <si>
    <t>ｲﾝﾎﾞﾘｭｰﾄｳﾈﾘ</t>
  </si>
  <si>
    <t>h</t>
  </si>
  <si>
    <t>歯筋傾き</t>
  </si>
  <si>
    <t>シェービング径( DS )</t>
  </si>
  <si>
    <t>d</t>
  </si>
  <si>
    <t>歯先ダレ</t>
  </si>
  <si>
    <t>ｉ</t>
  </si>
  <si>
    <t>歯筋ウネリ</t>
  </si>
  <si>
    <t>噛み合い判定長さ</t>
  </si>
  <si>
    <t>e</t>
  </si>
  <si>
    <t>歯先ﾀﾞﾚ範囲</t>
  </si>
  <si>
    <t>j</t>
  </si>
  <si>
    <t>ｼｪｰﾋﾞﾝｸﾞ段差</t>
  </si>
  <si>
    <t>歯振れ</t>
  </si>
  <si>
    <t>プログラムＮｏ．</t>
  </si>
  <si>
    <t>－</t>
  </si>
  <si>
    <t>歯形 ・歯筋</t>
  </si>
  <si>
    <t>加工面外観</t>
  </si>
  <si>
    <t>加工開始時</t>
  </si>
  <si>
    <t>加工終了時</t>
  </si>
  <si>
    <t>記録頻度</t>
  </si>
  <si>
    <t>担当者</t>
  </si>
  <si>
    <t>回転数</t>
  </si>
  <si>
    <t xml:space="preserve"> 前回加工時の回転数を参照の事。</t>
  </si>
  <si>
    <t>加工した回転数をカッターファイルに記入の事。</t>
  </si>
  <si>
    <t>１／終</t>
  </si>
  <si>
    <t>送り速度</t>
  </si>
  <si>
    <t xml:space="preserve"> 前回加工時の送り速度を参照の事。</t>
  </si>
  <si>
    <t>加工した送り速度をカッターファイルに記入の事。</t>
  </si>
  <si>
    <t>機械番号</t>
  </si>
  <si>
    <t xml:space="preserve"> 前回加工時の機械番号を参照の事。</t>
  </si>
  <si>
    <t>加工した機械番号をカッターファイルに記入の事。</t>
  </si>
  <si>
    <t>設備 ・ 治具条件管理項目</t>
  </si>
  <si>
    <t>管  理  水  準</t>
  </si>
  <si>
    <t>測  定  具</t>
  </si>
  <si>
    <t>測定者</t>
  </si>
  <si>
    <t>段取時注記事項</t>
  </si>
  <si>
    <t>テイルストック芯振れ</t>
  </si>
  <si>
    <t xml:space="preserve"> ０．００５以下の事。</t>
  </si>
  <si>
    <t>ダイヤルゲージ</t>
  </si>
  <si>
    <t>ＳＶアーバーの振れ</t>
  </si>
  <si>
    <t xml:space="preserve"> ０．０１０以下の事。</t>
  </si>
  <si>
    <t>ＳＶアーバーの軸径</t>
  </si>
  <si>
    <t>マイクロメーター</t>
  </si>
  <si>
    <t>年・月・日</t>
  </si>
  <si>
    <t>改訂Ｎｏ．</t>
  </si>
  <si>
    <t>改 訂 箇 所</t>
  </si>
  <si>
    <t>改  訂  理  由</t>
  </si>
  <si>
    <t>改訂者</t>
  </si>
  <si>
    <t>ＱＣ</t>
  </si>
  <si>
    <t>品技</t>
  </si>
  <si>
    <t>日付</t>
  </si>
  <si>
    <t>内  容</t>
  </si>
  <si>
    <t>対  策</t>
  </si>
  <si>
    <t>ヤマハ発動機株式会社</t>
  </si>
  <si>
    <t>工程Ｎｏ</t>
  </si>
  <si>
    <t>日付 ：</t>
  </si>
  <si>
    <t>製品図規格</t>
  </si>
  <si>
    <t>管理規格</t>
  </si>
  <si>
    <t>歯車諸元</t>
  </si>
  <si>
    <t xml:space="preserve">  熱処理前 歯形・歯筋規格</t>
  </si>
  <si>
    <t>a.  歯先圧力角</t>
  </si>
  <si>
    <t>公差上限値</t>
  </si>
  <si>
    <t>*****</t>
  </si>
  <si>
    <t>圧力角</t>
  </si>
  <si>
    <t>b.  歯形凸修正</t>
  </si>
  <si>
    <t>公差下限値</t>
  </si>
  <si>
    <t>歯数</t>
  </si>
  <si>
    <t>c.  ｲﾝﾎﾞﾘｭｰﾄｳﾈﾘ</t>
  </si>
  <si>
    <t>仕上方法</t>
  </si>
  <si>
    <t>項目削除by原田</t>
  </si>
  <si>
    <t>d.  歯先ダレ</t>
  </si>
  <si>
    <t>ねじれ角と方向</t>
  </si>
  <si>
    <t>e.  歯先ダレ範囲</t>
  </si>
  <si>
    <t>ｼｪｰﾋﾞﾝｸﾞ加工長さ・下限</t>
  </si>
  <si>
    <t>f.  クラウニング</t>
  </si>
  <si>
    <t>熱処理歪代</t>
  </si>
  <si>
    <t>ｼｪｰﾋﾞﾝｸﾞ加工長さ・上限</t>
  </si>
  <si>
    <t>g.  ｸﾗｳﾆﾝｸﾞ範囲</t>
  </si>
  <si>
    <t>ｼｪｰﾋﾞﾝｸﾞ径( DS )</t>
  </si>
  <si>
    <t>h.  歯筋傾き</t>
  </si>
  <si>
    <t>かみあい判定長さ</t>
  </si>
  <si>
    <t>I.  歯筋ウネリ</t>
  </si>
  <si>
    <t>j.  ｼｪｰﾋﾞﾝｸﾞ段差</t>
  </si>
  <si>
    <t>刃具 ・ 治具</t>
  </si>
  <si>
    <t>ｼｪｰﾋﾞﾝｸﾞｶｯﾀｰ</t>
  </si>
  <si>
    <t xml:space="preserve">軸径 摩耗限界値 </t>
  </si>
  <si>
    <t>ｼｪｰﾋﾞﾝｸﾞｱｰﾊﾞｰ</t>
  </si>
  <si>
    <t>通常ｻｲｽﾞ</t>
  </si>
  <si>
    <t>サイズ</t>
  </si>
  <si>
    <t>オーバーピン径</t>
  </si>
  <si>
    <t>マタギ歯厚(参考)</t>
  </si>
  <si>
    <t>ｵｰﾊﾞｰﾋﾟﾝ径</t>
  </si>
  <si>
    <t>枚数</t>
  </si>
  <si>
    <t>またぎ歯厚</t>
  </si>
  <si>
    <t>サイズ表  表記</t>
  </si>
  <si>
    <t>転位係数</t>
  </si>
  <si>
    <t>ﾋﾟﾝ径</t>
  </si>
  <si>
    <t>転位量</t>
  </si>
  <si>
    <t>ﾓｼﾞｭｰﾙ</t>
  </si>
  <si>
    <t>またぎ歯厚増加量</t>
  </si>
  <si>
    <t>α0</t>
  </si>
  <si>
    <t>invφ</t>
  </si>
  <si>
    <t>φ</t>
  </si>
  <si>
    <t>zmcosα0/cosφ</t>
  </si>
  <si>
    <t>cosα0</t>
  </si>
  <si>
    <t>sinα0</t>
  </si>
  <si>
    <t>tanα0</t>
  </si>
  <si>
    <t>invα0</t>
  </si>
  <si>
    <t>Sm=m*cosα0*(π*(Zm-0.5)+Z*invα0)+2x*m*sinα0　→</t>
  </si>
  <si>
    <t>x=(Sm-m*cosα0*(π*(Zm-0.5)+Z*invα0))/(2*m*sinα0)</t>
  </si>
  <si>
    <t>invφ=dp/(z*m*cosα0)-(π/2z-invα0)+2x*tanα0/z</t>
  </si>
  <si>
    <t>偶数</t>
  </si>
  <si>
    <t>dm=z*m*cosα0/cosφ+dp</t>
  </si>
  <si>
    <t>Φ/2=(π/2Z-invα0)-2x*tanα0/z</t>
  </si>
  <si>
    <t>奇数</t>
  </si>
  <si>
    <t>dm=z*m*cosα0/cosφ*cos90/z+dp</t>
  </si>
  <si>
    <t>α=acos(z*m*cosα0/((z+2x)*m))</t>
  </si>
  <si>
    <t>φ=tanα+Φ/2</t>
  </si>
  <si>
    <t>dp=z*m*cosα0*(invφ+Φ/2)</t>
  </si>
  <si>
    <t xml:space="preserve"> </t>
    <phoneticPr fontId="44"/>
  </si>
  <si>
    <t>職長</t>
    <rPh sb="0" eb="2">
      <t>ショクチョウ</t>
    </rPh>
    <phoneticPr fontId="44"/>
  </si>
  <si>
    <t xml:space="preserve"> </t>
    <phoneticPr fontId="44"/>
  </si>
  <si>
    <t>○</t>
    <phoneticPr fontId="44"/>
  </si>
  <si>
    <t>ｼｪｰﾋﾞﾝｸﾞ取り代による切込量の違い</t>
  </si>
  <si>
    <t>ｼｪｰﾋﾞﾝｸﾞ代</t>
  </si>
  <si>
    <t>切込量（Ｔ）</t>
  </si>
  <si>
    <t>※ｼｪｰﾋﾞﾝｸﾞ前のﾏﾀｷﾞ歯厚によりﾌﾟﾛｸﾞﾗﾑ中</t>
  </si>
  <si>
    <t>の’Ｔ’の値を変更して下さい。</t>
  </si>
  <si>
    <t>機種</t>
  </si>
  <si>
    <t>3CP-PDN-00</t>
  </si>
  <si>
    <t>ﾜｰｸ歯数</t>
  </si>
  <si>
    <t>ｶｯﾀｰ歯数</t>
  </si>
  <si>
    <t>ﾜｰｸ外径</t>
  </si>
  <si>
    <t>ｶｯﾀｰ周速</t>
  </si>
  <si>
    <t>ｶｯﾀｰ回転数</t>
  </si>
  <si>
    <t>ﾜｰｸ回転数</t>
  </si>
  <si>
    <t>1回転当たりの送り量</t>
  </si>
  <si>
    <t>ﾀｲﾏｰ１</t>
  </si>
  <si>
    <t>Ｔ１回転回数</t>
  </si>
  <si>
    <t>ﾀｲﾏｰ２</t>
  </si>
  <si>
    <t>Ｔ２回転回数</t>
  </si>
  <si>
    <t>ﾀｲﾏｰ３</t>
  </si>
  <si>
    <t>Ｔ３回転回数</t>
  </si>
  <si>
    <t>機種名</t>
  </si>
  <si>
    <t>送り速度(R荒:F仕上)</t>
  </si>
  <si>
    <t>タイマー（I:J:K）</t>
  </si>
  <si>
    <t>ﾜｰｸ１回転当りの送り量</t>
  </si>
  <si>
    <t>ﾜｰｸの回転回数</t>
  </si>
  <si>
    <t>周速</t>
  </si>
  <si>
    <t>ｶｯﾀｰ
回転数</t>
  </si>
  <si>
    <t>+α</t>
    <phoneticPr fontId="44"/>
  </si>
  <si>
    <t>標準実加工時間</t>
  </si>
  <si>
    <t>送り速度（Ｒ：荒・Ｆ：仕上）</t>
  </si>
  <si>
    <t>ﾀｲﾏｰ１（荒）</t>
  </si>
  <si>
    <t>ﾀｲﾏｰ３（BM仕上）</t>
  </si>
  <si>
    <t>切込量</t>
  </si>
  <si>
    <t>T</t>
  </si>
  <si>
    <t>送り</t>
  </si>
  <si>
    <t>Ｒ・Ｆ</t>
  </si>
  <si>
    <t>Ｔ２</t>
  </si>
  <si>
    <t>Ｊ</t>
  </si>
  <si>
    <t>Ｓ</t>
  </si>
  <si>
    <t>Ｔ１</t>
  </si>
  <si>
    <t>Ｉ</t>
  </si>
  <si>
    <t>Ｔ３</t>
  </si>
  <si>
    <t>Ｋ</t>
  </si>
  <si>
    <t xml:space="preserve">               カッター№         SV-</t>
  </si>
  <si>
    <t>ワーク歯数</t>
  </si>
  <si>
    <t>カッター歯数</t>
  </si>
  <si>
    <t>カッター外径</t>
  </si>
  <si>
    <t>ﾜｰｸの外径</t>
  </si>
  <si>
    <t>ﾜｰｸ1回転あたりの送り量</t>
  </si>
  <si>
    <t>ﾃﾞｰﾀ入力</t>
  </si>
  <si>
    <t>シェービング代</t>
  </si>
  <si>
    <t>ﾜｰｸ回転数（1000以下の事）</t>
  </si>
  <si>
    <t>計算結果</t>
  </si>
  <si>
    <t>ﾜｰｸ回転数（その弐）</t>
  </si>
  <si>
    <t>ｶｯﾀｰ回転数（その弐）</t>
  </si>
  <si>
    <t>ｶｯﾀｰ１回転あたりのﾜｰｸ回転数</t>
  </si>
  <si>
    <t>定寸保持時間（Ｔ１）</t>
  </si>
  <si>
    <t>ＢＭ保持時間（Ｔ３）</t>
  </si>
  <si>
    <t>入力値</t>
  </si>
  <si>
    <t>(T2)</t>
  </si>
  <si>
    <t>ＢＭ量（0.02～0.03）</t>
  </si>
  <si>
    <t>←歯形の状態で変更した方が良いと思われる</t>
  </si>
  <si>
    <t>シェービングカッター外径</t>
  </si>
  <si>
    <t>被削歯車外径</t>
  </si>
  <si>
    <t>セレーション設定回転数</t>
  </si>
  <si>
    <t>（ｶｯﾀｰ図面参照・WN、NZG）</t>
  </si>
  <si>
    <t>加工条件管理項目</t>
    <rPh sb="0" eb="2">
      <t>カコウ</t>
    </rPh>
    <rPh sb="2" eb="4">
      <t>ジョウケン</t>
    </rPh>
    <rPh sb="4" eb="6">
      <t>カンリ</t>
    </rPh>
    <rPh sb="6" eb="8">
      <t>コウモク</t>
    </rPh>
    <phoneticPr fontId="44"/>
  </si>
  <si>
    <t>ﾜｰｸ１回転当りの送り量</t>
    <phoneticPr fontId="44"/>
  </si>
  <si>
    <t>標準加工条件</t>
    <rPh sb="0" eb="2">
      <t>ヒョウジュン</t>
    </rPh>
    <rPh sb="2" eb="4">
      <t>カコウ</t>
    </rPh>
    <rPh sb="4" eb="6">
      <t>ジョウケン</t>
    </rPh>
    <phoneticPr fontId="44"/>
  </si>
  <si>
    <t>【標準加工条件】</t>
    <rPh sb="3" eb="5">
      <t>カコウ</t>
    </rPh>
    <phoneticPr fontId="44"/>
  </si>
  <si>
    <t>《標準切削条件》</t>
    <phoneticPr fontId="44"/>
  </si>
  <si>
    <t>カッター周速</t>
    <rPh sb="4" eb="6">
      <t>シュウソク</t>
    </rPh>
    <phoneticPr fontId="44"/>
  </si>
  <si>
    <t>通常は入力しない</t>
    <rPh sb="0" eb="2">
      <t>ツウジョウ</t>
    </rPh>
    <rPh sb="3" eb="5">
      <t>ニュウリョク</t>
    </rPh>
    <phoneticPr fontId="44"/>
  </si>
  <si>
    <t>↑</t>
    <phoneticPr fontId="44"/>
  </si>
  <si>
    <t>キズ、黒皮、バリ無き事</t>
    <phoneticPr fontId="44"/>
  </si>
  <si>
    <t xml:space="preserve"> </t>
    <phoneticPr fontId="44"/>
  </si>
  <si>
    <t>凸無き事</t>
    <rPh sb="0" eb="1">
      <t>トツ</t>
    </rPh>
    <rPh sb="1" eb="2">
      <t>ナ</t>
    </rPh>
    <rPh sb="3" eb="4">
      <t>コト</t>
    </rPh>
    <phoneticPr fontId="44"/>
  </si>
  <si>
    <t>段  ：段取替     □：チェックマン  （例）1/5 ：５ヶに１ヶのチェック
                      △：チーフ              1/直 ：１直に１ヶ  〃
刃  ：刃具交換  ○：作業者          1/2h ：２時間に１ヶ   〃</t>
    <phoneticPr fontId="44"/>
  </si>
  <si>
    <t>14B-17151-00</t>
  </si>
  <si>
    <t>シェービング</t>
  </si>
  <si>
    <t>ＮＣシェービング盤</t>
  </si>
  <si>
    <t>G5P</t>
  </si>
  <si>
    <t>バリ取り</t>
  </si>
  <si>
    <t>熱処理</t>
  </si>
  <si>
    <t>第２工区（歯車熱前）</t>
  </si>
  <si>
    <t>GEAR</t>
  </si>
  <si>
    <t>ﾓｼﾞｭｰﾙ1</t>
  </si>
  <si>
    <t>圧力角1</t>
  </si>
  <si>
    <t>歯数1</t>
  </si>
  <si>
    <t>かみ合い長さ1</t>
  </si>
  <si>
    <t>精度1</t>
  </si>
  <si>
    <t>ねじれ角1</t>
  </si>
  <si>
    <t>方向1</t>
  </si>
  <si>
    <t>またぎ又はOPD1</t>
  </si>
  <si>
    <t>歯厚1</t>
  </si>
  <si>
    <t>歯厚上限公差1</t>
  </si>
  <si>
    <t>歯厚下限公差1</t>
  </si>
  <si>
    <t>またぎ枚数ORﾋﾟﾝ径1</t>
  </si>
  <si>
    <t>歯形歯筋規格有無1</t>
  </si>
  <si>
    <t>内径種類</t>
  </si>
  <si>
    <t>熱前丸内径呼び</t>
  </si>
  <si>
    <t>熱前大径呼び</t>
  </si>
  <si>
    <t>熱前SP小径呼び</t>
  </si>
  <si>
    <t>外径1</t>
  </si>
  <si>
    <t>JIS4級</t>
  </si>
  <si>
    <t>M</t>
  </si>
  <si>
    <t>有</t>
  </si>
  <si>
    <t>丸</t>
  </si>
  <si>
    <t>刃具</t>
  </si>
  <si>
    <t>治具</t>
  </si>
  <si>
    <t>ｼｪｰﾋﾞﾝｸﾞｱｰﾊﾞ</t>
  </si>
  <si>
    <t>測定具</t>
  </si>
  <si>
    <t>測定PG</t>
  </si>
  <si>
    <t>O.B.D用ﾋﾟﾝ</t>
  </si>
  <si>
    <t>O.B.D測定台</t>
  </si>
  <si>
    <t>27.86±0.01</t>
  </si>
  <si>
    <t>XX ～ XXμｍ</t>
  </si>
  <si>
    <t>X μｍ以内</t>
  </si>
  <si>
    <t>XX mm以下</t>
  </si>
  <si>
    <t xml:space="preserve"> 0 ±  5μｍ</t>
  </si>
  <si>
    <t>XX μｍ以内</t>
  </si>
  <si>
    <t>35 μｍ以内</t>
  </si>
  <si>
    <t>’22．11．7</t>
    <phoneticPr fontId="44"/>
  </si>
  <si>
    <t>－</t>
    <phoneticPr fontId="44"/>
  </si>
  <si>
    <t>マタギ歯厚</t>
    <phoneticPr fontId="44"/>
  </si>
  <si>
    <t>マタギ枚数</t>
    <phoneticPr fontId="44"/>
  </si>
  <si>
    <t>ピッチ誤差</t>
    <phoneticPr fontId="44"/>
  </si>
  <si>
    <t>新図発行</t>
    <phoneticPr fontId="4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</si>
</sst>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_ "/>
    <numFmt numFmtId="177" formatCode="0.00_ "/>
    <numFmt numFmtId="178" formatCode="0.000_ "/>
    <numFmt numFmtId="179" formatCode="\'yy\.m\.d"/>
    <numFmt numFmtId="180" formatCode="0.00&quot;±0.01&quot;"/>
    <numFmt numFmtId="181" formatCode="0.000"/>
    <numFmt numFmtId="182" formatCode="0.00000"/>
    <numFmt numFmtId="183" formatCode="0.000000"/>
    <numFmt numFmtId="184" formatCode="0.0"/>
    <numFmt numFmtId="185" formatCode="0.00_);[Red]\(0.00\)"/>
    <numFmt numFmtId="186" formatCode="0.000_);[Red]\(0.000\)"/>
    <numFmt numFmtId="187" formatCode="0_);[Red]\(0\)"/>
    <numFmt numFmtId="188" formatCode="0.0000_ "/>
    <numFmt numFmtId="189" formatCode="#&quot;°&quot;"/>
    <numFmt numFmtId="190" formatCode="#.#&quot;°&quot;"/>
    <numFmt numFmtId="191" formatCode="#&quot;秒&quot;"/>
    <numFmt numFmtId="192" formatCode="#&quot;秒+α&quot;"/>
  </numFmts>
  <fonts count="58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name val="ＭＳ Ｐゴシック"/>
      <family val="3"/>
      <charset val="128"/>
    </font>
    <font>
      <sz val="16"/>
      <name val="ＭＳ Ｐゴシック"/>
      <family val="3"/>
      <charset val="128"/>
    </font>
    <font>
      <sz val="11"/>
      <name val="ＭＳ Ｐゴシック"/>
      <family val="3"/>
      <charset val="128"/>
    </font>
    <font>
      <sz val="22"/>
      <name val="ＭＳ Ｐゴシック"/>
      <family val="3"/>
      <charset val="128"/>
    </font>
    <font>
      <sz val="9"/>
      <name val="ＭＳ Ｐゴシック"/>
      <family val="3"/>
      <charset val="128"/>
    </font>
    <font>
      <sz val="12"/>
      <name val="ＭＳ Ｐゴシック"/>
      <family val="3"/>
      <charset val="128"/>
    </font>
    <font>
      <sz val="8"/>
      <name val="ＭＳ Ｐゴシック"/>
      <family val="3"/>
      <charset val="128"/>
    </font>
    <font>
      <sz val="7.5"/>
      <name val="ＭＳ Ｐゴシック"/>
      <family val="3"/>
      <charset val="128"/>
    </font>
    <font>
      <sz val="7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indexed="47"/>
      <name val="ＭＳ Ｐゴシック"/>
      <family val="3"/>
      <charset val="128"/>
    </font>
    <font>
      <sz val="8"/>
      <color indexed="47"/>
      <name val="ＭＳ Ｐゴシック"/>
      <family val="3"/>
      <charset val="128"/>
    </font>
    <font>
      <sz val="9"/>
      <color indexed="47"/>
      <name val="ＭＳ Ｐゴシック"/>
      <family val="3"/>
      <charset val="128"/>
    </font>
    <font>
      <sz val="11"/>
      <color indexed="48"/>
      <name val="ＭＳ Ｐゴシック"/>
      <family val="3"/>
      <charset val="128"/>
    </font>
    <font>
      <sz val="14"/>
      <color indexed="48"/>
      <name val="ＭＳ Ｐゴシック"/>
      <family val="3"/>
      <charset val="128"/>
    </font>
    <font>
      <b/>
      <sz val="10"/>
      <color indexed="43"/>
      <name val="ＭＳ Ｐゴシック"/>
      <family val="3"/>
      <charset val="128"/>
    </font>
    <font>
      <b/>
      <sz val="10"/>
      <color indexed="18"/>
      <name val="ＭＳ Ｐゴシック"/>
      <family val="3"/>
      <charset val="128"/>
    </font>
    <font>
      <b/>
      <sz val="12"/>
      <color indexed="18"/>
      <name val="ＭＳ Ｐゴシック"/>
      <family val="3"/>
      <charset val="128"/>
    </font>
    <font>
      <sz val="14"/>
      <color indexed="39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name val="ＤＦPOP体"/>
      <family val="3"/>
      <charset val="128"/>
    </font>
    <font>
      <b/>
      <sz val="9"/>
      <name val="ＭＳ Ｐゴシック"/>
      <family val="3"/>
      <charset val="128"/>
    </font>
    <font>
      <b/>
      <sz val="12"/>
      <color indexed="26"/>
      <name val="ＭＳ Ｐゴシック"/>
      <family val="3"/>
      <charset val="128"/>
    </font>
    <font>
      <sz val="11"/>
      <name val="ＤＦPOP体"/>
      <family val="3"/>
      <charset val="128"/>
    </font>
    <font>
      <b/>
      <sz val="12"/>
      <name val="ＭＳ Ｐゴシック"/>
      <family val="3"/>
      <charset val="128"/>
    </font>
    <font>
      <sz val="9"/>
      <color indexed="10"/>
      <name val="Arial Narrow"/>
      <family val="2"/>
    </font>
    <font>
      <sz val="11"/>
      <color indexed="1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8.5"/>
      <name val="ＭＳ Ｐゴシック"/>
      <family val="3"/>
      <charset val="128"/>
    </font>
    <font>
      <sz val="9.5"/>
      <name val="ＭＳ Ｐゴシック"/>
      <family val="3"/>
      <charset val="128"/>
    </font>
    <font>
      <sz val="10.5"/>
      <name val="ＭＳ Ｐゴシック"/>
      <family val="3"/>
      <charset val="128"/>
    </font>
    <font>
      <sz val="15"/>
      <name val="ＭＳ Ｐゴシック"/>
      <family val="3"/>
      <charset val="128"/>
    </font>
    <font>
      <sz val="13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color indexed="12"/>
      <name val="明朝"/>
      <family val="1"/>
      <charset val="128"/>
    </font>
    <font>
      <sz val="10"/>
      <name val="明朝"/>
      <family val="1"/>
      <charset val="128"/>
    </font>
    <font>
      <sz val="11"/>
      <color indexed="24"/>
      <name val="明朝"/>
      <family val="1"/>
      <charset val="128"/>
    </font>
    <font>
      <sz val="11"/>
      <color indexed="8"/>
      <name val="明朝"/>
      <family val="1"/>
      <charset val="128"/>
    </font>
    <font>
      <sz val="11"/>
      <color indexed="27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32"/>
      <name val="明朝"/>
      <family val="1"/>
      <charset val="128"/>
    </font>
    <font>
      <sz val="11"/>
      <color indexed="27"/>
      <name val="明朝"/>
      <family val="1"/>
      <charset val="128"/>
    </font>
    <font>
      <b/>
      <sz val="16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9"/>
      <color rgb="FF000000"/>
      <name val="MS UI Gothic"/>
      <family val="3"/>
      <charset val="128"/>
    </font>
    <font>
      <b/>
      <sz val="9"/>
      <color rgb="FF000000"/>
      <name val="ＭＳ Ｐゴシック"/>
      <family val="3"/>
      <charset val="128"/>
    </font>
    <font>
      <b/>
      <sz val="10"/>
      <color rgb="FF000000"/>
      <name val="ＭＳ Ｐゴシック"/>
      <family val="3"/>
      <charset val="128"/>
    </font>
    <font>
      <sz val="8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3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27"/>
      </right>
      <top/>
      <bottom style="thin">
        <color indexed="27"/>
      </bottom>
      <diagonal/>
    </border>
    <border>
      <left style="thin">
        <color indexed="27"/>
      </left>
      <right style="thin">
        <color indexed="27"/>
      </right>
      <top/>
      <bottom style="thin">
        <color indexed="27"/>
      </bottom>
      <diagonal/>
    </border>
    <border>
      <left style="thin">
        <color indexed="27"/>
      </left>
      <right style="thin">
        <color indexed="27"/>
      </right>
      <top style="thin">
        <color indexed="27"/>
      </top>
      <bottom style="thin">
        <color indexed="27"/>
      </bottom>
      <diagonal/>
    </border>
    <border>
      <left/>
      <right style="thin">
        <color indexed="27"/>
      </right>
      <top style="thin">
        <color indexed="27"/>
      </top>
      <bottom style="thin">
        <color indexed="27"/>
      </bottom>
      <diagonal/>
    </border>
    <border>
      <left/>
      <right/>
      <top style="thin">
        <color indexed="27"/>
      </top>
      <bottom/>
      <diagonal/>
    </border>
    <border>
      <left/>
      <right style="thin">
        <color indexed="27"/>
      </right>
      <top style="thin">
        <color indexed="27"/>
      </top>
      <bottom/>
      <diagonal/>
    </border>
    <border>
      <left style="thin">
        <color indexed="27"/>
      </left>
      <right/>
      <top style="thin">
        <color indexed="27"/>
      </top>
      <bottom/>
      <diagonal/>
    </border>
    <border>
      <left style="thin">
        <color indexed="27"/>
      </left>
      <right style="thin">
        <color indexed="27"/>
      </right>
      <top style="thin">
        <color indexed="27"/>
      </top>
      <bottom/>
      <diagonal/>
    </border>
    <border>
      <left/>
      <right/>
      <top/>
      <bottom style="thin">
        <color indexed="27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3">
    <xf numFmtId="0" fontId="0" fillId="0" borderId="0" xfId="0"/>
    <xf numFmtId="0" fontId="7" fillId="0" borderId="0" xfId="0" applyFon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0" borderId="0" xfId="0" quotePrefix="1" applyNumberFormat="1" applyAlignment="1">
      <alignment vertical="center"/>
    </xf>
    <xf numFmtId="49" fontId="9" fillId="0" borderId="0" xfId="0" applyNumberFormat="1" applyFont="1" applyAlignment="1">
      <alignment vertical="center"/>
    </xf>
    <xf numFmtId="49" fontId="8" fillId="0" borderId="0" xfId="0" applyNumberFormat="1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49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top"/>
    </xf>
    <xf numFmtId="0" fontId="0" fillId="0" borderId="0" xfId="0" applyAlignment="1">
      <alignment horizontal="centerContinuous" vertical="center"/>
    </xf>
    <xf numFmtId="49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49" fontId="4" fillId="0" borderId="0" xfId="0" applyNumberFormat="1" applyFont="1" applyAlignment="1">
      <alignment horizontal="centerContinuous" vertical="center"/>
    </xf>
    <xf numFmtId="49" fontId="9" fillId="0" borderId="0" xfId="0" applyNumberFormat="1" applyFont="1" applyAlignment="1">
      <alignment horizontal="centerContinuous" vertical="center"/>
    </xf>
    <xf numFmtId="0" fontId="8" fillId="0" borderId="0" xfId="0" applyFont="1"/>
    <xf numFmtId="0" fontId="8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6" fillId="2" borderId="0" xfId="0" applyFont="1" applyFill="1" applyAlignment="1">
      <alignment horizontal="centerContinuous" vertical="center"/>
    </xf>
    <xf numFmtId="0" fontId="6" fillId="2" borderId="0" xfId="0" applyFont="1" applyFill="1" applyAlignment="1">
      <alignment vertical="center"/>
    </xf>
    <xf numFmtId="0" fontId="14" fillId="0" borderId="0" xfId="0" applyFont="1"/>
    <xf numFmtId="0" fontId="0" fillId="2" borderId="0" xfId="0" applyFill="1"/>
    <xf numFmtId="0" fontId="15" fillId="2" borderId="0" xfId="0" applyFont="1" applyFill="1" applyAlignment="1">
      <alignment vertical="center"/>
    </xf>
    <xf numFmtId="0" fontId="8" fillId="2" borderId="0" xfId="0" applyFont="1" applyFill="1"/>
    <xf numFmtId="0" fontId="6" fillId="2" borderId="0" xfId="0" applyFont="1" applyFill="1"/>
    <xf numFmtId="49" fontId="0" fillId="0" borderId="0" xfId="0" applyNumberFormat="1" applyAlignment="1" applyProtection="1">
      <alignment vertical="center"/>
      <protection locked="0"/>
    </xf>
    <xf numFmtId="49" fontId="8" fillId="0" borderId="0" xfId="0" applyNumberFormat="1" applyFont="1" applyAlignment="1">
      <alignment horizontal="centerContinuous" vertical="center"/>
    </xf>
    <xf numFmtId="49" fontId="11" fillId="0" borderId="0" xfId="0" applyNumberFormat="1" applyFont="1" applyAlignment="1">
      <alignment horizontal="centerContinuous" vertical="center" wrapText="1"/>
    </xf>
    <xf numFmtId="0" fontId="10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4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5" fillId="2" borderId="0" xfId="0" applyFont="1" applyFill="1" applyAlignment="1" applyProtection="1">
      <alignment vertical="center"/>
      <protection locked="0"/>
    </xf>
    <xf numFmtId="0" fontId="16" fillId="2" borderId="0" xfId="0" applyFont="1" applyFill="1"/>
    <xf numFmtId="0" fontId="14" fillId="2" borderId="0" xfId="0" applyFont="1" applyFill="1"/>
    <xf numFmtId="0" fontId="6" fillId="2" borderId="0" xfId="0" quotePrefix="1" applyFont="1" applyFill="1" applyAlignment="1">
      <alignment vertical="center"/>
    </xf>
    <xf numFmtId="0" fontId="17" fillId="2" borderId="0" xfId="0" applyFont="1" applyFill="1" applyAlignment="1">
      <alignment horizontal="right" vertical="center"/>
    </xf>
    <xf numFmtId="14" fontId="18" fillId="2" borderId="0" xfId="0" applyNumberFormat="1" applyFont="1" applyFill="1" applyAlignment="1">
      <alignment horizontal="center" vertical="center"/>
    </xf>
    <xf numFmtId="0" fontId="19" fillId="2" borderId="0" xfId="0" applyFont="1" applyFill="1" applyAlignment="1">
      <alignment horizontal="right" vertical="center"/>
    </xf>
    <xf numFmtId="0" fontId="20" fillId="2" borderId="0" xfId="0" applyFont="1" applyFill="1" applyAlignment="1">
      <alignment horizontal="right" vertical="center"/>
    </xf>
    <xf numFmtId="14" fontId="21" fillId="2" borderId="0" xfId="0" applyNumberFormat="1" applyFont="1" applyFill="1" applyAlignment="1">
      <alignment horizontal="center" vertical="center"/>
    </xf>
    <xf numFmtId="14" fontId="21" fillId="2" borderId="0" xfId="0" applyNumberFormat="1" applyFont="1" applyFill="1" applyAlignment="1" applyProtection="1">
      <alignment horizontal="center" vertical="center"/>
      <protection locked="0"/>
    </xf>
    <xf numFmtId="0" fontId="13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6" fillId="2" borderId="0" xfId="0" quotePrefix="1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right"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Continuous" vertical="center"/>
    </xf>
    <xf numFmtId="0" fontId="13" fillId="4" borderId="3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23" fillId="4" borderId="3" xfId="0" applyFont="1" applyFill="1" applyBorder="1" applyAlignment="1" applyProtection="1">
      <alignment horizontal="left" vertical="center"/>
      <protection locked="0"/>
    </xf>
    <xf numFmtId="0" fontId="25" fillId="4" borderId="3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left"/>
    </xf>
    <xf numFmtId="0" fontId="27" fillId="2" borderId="0" xfId="0" applyFont="1" applyFill="1" applyAlignment="1">
      <alignment horizontal="center" vertical="center"/>
    </xf>
    <xf numFmtId="0" fontId="23" fillId="4" borderId="3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4" fontId="28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6" fillId="0" borderId="0" xfId="0" applyFont="1" applyAlignment="1">
      <alignment horizontal="centerContinuous" vertical="center"/>
    </xf>
    <xf numFmtId="49" fontId="10" fillId="0" borderId="0" xfId="0" applyNumberFormat="1" applyFont="1" applyAlignment="1">
      <alignment horizontal="centerContinuous" vertical="center"/>
    </xf>
    <xf numFmtId="0" fontId="6" fillId="0" borderId="0" xfId="0" quotePrefix="1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4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12" fillId="0" borderId="0" xfId="0" applyNumberFormat="1" applyFont="1" applyAlignment="1">
      <alignment horizontal="centerContinuous" vertical="center"/>
    </xf>
    <xf numFmtId="179" fontId="29" fillId="0" borderId="0" xfId="0" applyNumberFormat="1" applyFont="1" applyAlignment="1">
      <alignment horizontal="centerContinuous"/>
    </xf>
    <xf numFmtId="14" fontId="0" fillId="0" borderId="0" xfId="0" applyNumberFormat="1" applyAlignment="1">
      <alignment horizontal="center" vertical="center"/>
    </xf>
    <xf numFmtId="179" fontId="6" fillId="0" borderId="0" xfId="0" applyNumberFormat="1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0" fontId="30" fillId="0" borderId="0" xfId="0" applyFont="1"/>
    <xf numFmtId="0" fontId="0" fillId="0" borderId="0" xfId="0" applyAlignment="1">
      <alignment textRotation="255"/>
    </xf>
    <xf numFmtId="49" fontId="6" fillId="0" borderId="0" xfId="0" quotePrefix="1" applyNumberFormat="1" applyFont="1" applyAlignment="1">
      <alignment horizontal="centerContinuous" vertical="center"/>
    </xf>
    <xf numFmtId="49" fontId="4" fillId="0" borderId="0" xfId="0" quotePrefix="1" applyNumberFormat="1" applyFont="1" applyAlignment="1">
      <alignment horizontal="centerContinuous" vertical="center"/>
    </xf>
    <xf numFmtId="0" fontId="1" fillId="3" borderId="4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49" fontId="12" fillId="0" borderId="0" xfId="0" applyNumberFormat="1" applyFont="1" applyAlignment="1">
      <alignment vertical="center" wrapText="1"/>
    </xf>
    <xf numFmtId="49" fontId="6" fillId="0" borderId="0" xfId="0" applyNumberFormat="1" applyFont="1" applyAlignment="1">
      <alignment horizontal="centerContinuous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1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vertical="center"/>
    </xf>
    <xf numFmtId="0" fontId="12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13" fillId="3" borderId="5" xfId="0" applyFont="1" applyFill="1" applyBorder="1" applyAlignment="1">
      <alignment horizontal="center" vertical="center"/>
    </xf>
    <xf numFmtId="0" fontId="6" fillId="7" borderId="6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>
      <alignment horizontal="centerContinuous" vertical="center"/>
    </xf>
    <xf numFmtId="0" fontId="6" fillId="5" borderId="3" xfId="0" applyFont="1" applyFill="1" applyBorder="1" applyAlignment="1" applyProtection="1">
      <alignment horizontal="center" vertical="center"/>
      <protection locked="0"/>
    </xf>
    <xf numFmtId="0" fontId="4" fillId="0" borderId="0" xfId="0" applyFont="1"/>
    <xf numFmtId="0" fontId="32" fillId="0" borderId="0" xfId="0" applyFont="1" applyAlignment="1">
      <alignment vertical="center"/>
    </xf>
    <xf numFmtId="49" fontId="34" fillId="0" borderId="0" xfId="0" applyNumberFormat="1" applyFont="1" applyAlignment="1">
      <alignment horizontal="right" vertical="center"/>
    </xf>
    <xf numFmtId="49" fontId="34" fillId="0" borderId="0" xfId="0" applyNumberFormat="1" applyFont="1" applyAlignment="1">
      <alignment vertical="center" wrapText="1"/>
    </xf>
    <xf numFmtId="0" fontId="34" fillId="0" borderId="0" xfId="0" applyFont="1"/>
    <xf numFmtId="49" fontId="34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Continuous" vertical="center"/>
    </xf>
    <xf numFmtId="0" fontId="34" fillId="0" borderId="0" xfId="0" applyFont="1" applyAlignment="1">
      <alignment horizontal="centerContinuous"/>
    </xf>
    <xf numFmtId="0" fontId="35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Continuous" vertical="center"/>
    </xf>
    <xf numFmtId="0" fontId="36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49" fontId="33" fillId="0" borderId="0" xfId="0" applyNumberFormat="1" applyFont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0" fontId="6" fillId="5" borderId="6" xfId="0" applyFont="1" applyFill="1" applyBorder="1" applyAlignment="1" applyProtection="1">
      <alignment horizontal="center" vertical="center"/>
      <protection locked="0"/>
    </xf>
    <xf numFmtId="0" fontId="38" fillId="8" borderId="3" xfId="0" applyFont="1" applyFill="1" applyBorder="1" applyAlignment="1">
      <alignment horizontal="center" vertical="center"/>
    </xf>
    <xf numFmtId="180" fontId="9" fillId="5" borderId="7" xfId="0" applyNumberFormat="1" applyFont="1" applyFill="1" applyBorder="1" applyAlignment="1">
      <alignment horizontal="center" vertical="center"/>
    </xf>
    <xf numFmtId="180" fontId="9" fillId="5" borderId="8" xfId="0" applyNumberFormat="1" applyFont="1" applyFill="1" applyBorder="1" applyAlignment="1">
      <alignment horizontal="center" vertical="center"/>
    </xf>
    <xf numFmtId="180" fontId="9" fillId="5" borderId="2" xfId="0" applyNumberFormat="1" applyFont="1" applyFill="1" applyBorder="1" applyAlignment="1">
      <alignment horizontal="centerContinuous" vertical="center"/>
    </xf>
    <xf numFmtId="180" fontId="9" fillId="5" borderId="9" xfId="0" applyNumberFormat="1" applyFont="1" applyFill="1" applyBorder="1" applyAlignment="1">
      <alignment horizontal="centerContinuous" vertical="center"/>
    </xf>
    <xf numFmtId="180" fontId="9" fillId="5" borderId="7" xfId="0" applyNumberFormat="1" applyFont="1" applyFill="1" applyBorder="1" applyAlignment="1">
      <alignment horizontal="centerContinuous" vertical="center"/>
    </xf>
    <xf numFmtId="180" fontId="9" fillId="5" borderId="8" xfId="0" applyNumberFormat="1" applyFont="1" applyFill="1" applyBorder="1" applyAlignment="1">
      <alignment horizontal="centerContinuous" vertical="center"/>
    </xf>
    <xf numFmtId="0" fontId="13" fillId="3" borderId="7" xfId="0" applyFont="1" applyFill="1" applyBorder="1" applyAlignment="1">
      <alignment vertical="center"/>
    </xf>
    <xf numFmtId="0" fontId="13" fillId="3" borderId="7" xfId="0" applyFont="1" applyFill="1" applyBorder="1" applyAlignment="1">
      <alignment horizontal="centerContinuous" vertical="center"/>
    </xf>
    <xf numFmtId="0" fontId="13" fillId="3" borderId="10" xfId="0" applyFont="1" applyFill="1" applyBorder="1" applyAlignment="1">
      <alignment horizontal="centerContinuous" vertical="center"/>
    </xf>
    <xf numFmtId="180" fontId="9" fillId="5" borderId="10" xfId="0" applyNumberFormat="1" applyFont="1" applyFill="1" applyBorder="1" applyAlignment="1">
      <alignment horizontal="centerContinuous" vertical="center"/>
    </xf>
    <xf numFmtId="180" fontId="9" fillId="5" borderId="11" xfId="0" applyNumberFormat="1" applyFont="1" applyFill="1" applyBorder="1" applyAlignment="1">
      <alignment horizontal="centerContinuous" vertical="center"/>
    </xf>
    <xf numFmtId="0" fontId="6" fillId="6" borderId="12" xfId="0" applyFont="1" applyFill="1" applyBorder="1" applyAlignment="1">
      <alignment vertical="center"/>
    </xf>
    <xf numFmtId="182" fontId="42" fillId="7" borderId="1" xfId="0" applyNumberFormat="1" applyFont="1" applyFill="1" applyBorder="1"/>
    <xf numFmtId="181" fontId="42" fillId="9" borderId="1" xfId="0" applyNumberFormat="1" applyFont="1" applyFill="1" applyBorder="1" applyProtection="1">
      <protection locked="0"/>
    </xf>
    <xf numFmtId="0" fontId="42" fillId="2" borderId="0" xfId="0" applyFont="1" applyFill="1"/>
    <xf numFmtId="0" fontId="40" fillId="2" borderId="0" xfId="0" applyFont="1" applyFill="1" applyAlignment="1">
      <alignment wrapText="1"/>
    </xf>
    <xf numFmtId="0" fontId="0" fillId="2" borderId="13" xfId="0" applyFill="1" applyBorder="1"/>
    <xf numFmtId="0" fontId="0" fillId="2" borderId="14" xfId="0" applyFill="1" applyBorder="1"/>
    <xf numFmtId="0" fontId="41" fillId="2" borderId="14" xfId="0" applyFont="1" applyFill="1" applyBorder="1" applyProtection="1">
      <protection locked="0"/>
    </xf>
    <xf numFmtId="0" fontId="39" fillId="2" borderId="0" xfId="0" applyFont="1" applyFill="1"/>
    <xf numFmtId="184" fontId="39" fillId="2" borderId="0" xfId="0" applyNumberFormat="1" applyFont="1" applyFill="1"/>
    <xf numFmtId="1" fontId="42" fillId="7" borderId="1" xfId="0" applyNumberFormat="1" applyFont="1" applyFill="1" applyBorder="1"/>
    <xf numFmtId="181" fontId="43" fillId="2" borderId="0" xfId="0" applyNumberFormat="1" applyFont="1" applyFill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5" xfId="0" applyFill="1" applyBorder="1"/>
    <xf numFmtId="0" fontId="0" fillId="3" borderId="16" xfId="0" applyFill="1" applyBorder="1"/>
    <xf numFmtId="0" fontId="43" fillId="2" borderId="0" xfId="0" applyFont="1" applyFill="1"/>
    <xf numFmtId="0" fontId="43" fillId="2" borderId="0" xfId="0" quotePrefix="1" applyFont="1" applyFill="1"/>
    <xf numFmtId="181" fontId="43" fillId="2" borderId="17" xfId="0" applyNumberFormat="1" applyFont="1" applyFill="1" applyBorder="1"/>
    <xf numFmtId="0" fontId="43" fillId="2" borderId="18" xfId="0" quotePrefix="1" applyFont="1" applyFill="1" applyBorder="1"/>
    <xf numFmtId="0" fontId="43" fillId="2" borderId="17" xfId="0" applyFont="1" applyFill="1" applyBorder="1"/>
    <xf numFmtId="0" fontId="43" fillId="2" borderId="19" xfId="0" quotePrefix="1" applyFont="1" applyFill="1" applyBorder="1"/>
    <xf numFmtId="0" fontId="43" fillId="2" borderId="20" xfId="0" applyFont="1" applyFill="1" applyBorder="1"/>
    <xf numFmtId="0" fontId="43" fillId="2" borderId="21" xfId="0" applyFont="1" applyFill="1" applyBorder="1"/>
    <xf numFmtId="0" fontId="43" fillId="2" borderId="20" xfId="0" quotePrefix="1" applyFont="1" applyFill="1" applyBorder="1"/>
    <xf numFmtId="0" fontId="43" fillId="2" borderId="20" xfId="0" quotePrefix="1" applyFont="1" applyFill="1" applyBorder="1" applyAlignment="1">
      <alignment wrapText="1"/>
    </xf>
    <xf numFmtId="0" fontId="43" fillId="2" borderId="22" xfId="0" quotePrefix="1" applyFont="1" applyFill="1" applyBorder="1"/>
    <xf numFmtId="0" fontId="43" fillId="2" borderId="22" xfId="0" quotePrefix="1" applyFont="1" applyFill="1" applyBorder="1" applyAlignment="1">
      <alignment wrapText="1"/>
    </xf>
    <xf numFmtId="0" fontId="43" fillId="2" borderId="22" xfId="0" applyFont="1" applyFill="1" applyBorder="1"/>
    <xf numFmtId="0" fontId="43" fillId="2" borderId="23" xfId="0" applyFont="1" applyFill="1" applyBorder="1"/>
    <xf numFmtId="0" fontId="43" fillId="2" borderId="24" xfId="0" applyFont="1" applyFill="1" applyBorder="1"/>
    <xf numFmtId="0" fontId="43" fillId="2" borderId="19" xfId="0" applyFont="1" applyFill="1" applyBorder="1"/>
    <xf numFmtId="0" fontId="0" fillId="10" borderId="13" xfId="0" applyFill="1" applyBorder="1"/>
    <xf numFmtId="0" fontId="0" fillId="10" borderId="16" xfId="0" applyFill="1" applyBorder="1"/>
    <xf numFmtId="1" fontId="42" fillId="7" borderId="1" xfId="0" applyNumberFormat="1" applyFont="1" applyFill="1" applyBorder="1" applyProtection="1">
      <protection locked="0"/>
    </xf>
    <xf numFmtId="184" fontId="42" fillId="7" borderId="1" xfId="0" applyNumberFormat="1" applyFont="1" applyFill="1" applyBorder="1" applyProtection="1">
      <protection locked="0"/>
    </xf>
    <xf numFmtId="181" fontId="42" fillId="7" borderId="1" xfId="0" applyNumberFormat="1" applyFont="1" applyFill="1" applyBorder="1"/>
    <xf numFmtId="0" fontId="42" fillId="9" borderId="1" xfId="0" applyFont="1" applyFill="1" applyBorder="1" applyProtection="1">
      <protection locked="0"/>
    </xf>
    <xf numFmtId="0" fontId="9" fillId="5" borderId="12" xfId="0" applyFont="1" applyFill="1" applyBorder="1" applyAlignment="1">
      <alignment horizontal="center" vertical="center"/>
    </xf>
    <xf numFmtId="181" fontId="42" fillId="10" borderId="7" xfId="0" applyNumberFormat="1" applyFont="1" applyFill="1" applyBorder="1" applyAlignment="1" applyProtection="1">
      <alignment horizontal="centerContinuous"/>
      <protection locked="0"/>
    </xf>
    <xf numFmtId="181" fontId="42" fillId="10" borderId="5" xfId="0" applyNumberFormat="1" applyFont="1" applyFill="1" applyBorder="1" applyAlignment="1" applyProtection="1">
      <alignment horizontal="centerContinuous"/>
      <protection locked="0"/>
    </xf>
    <xf numFmtId="181" fontId="45" fillId="10" borderId="2" xfId="0" applyNumberFormat="1" applyFont="1" applyFill="1" applyBorder="1" applyAlignment="1" applyProtection="1">
      <alignment horizontal="centerContinuous"/>
      <protection locked="0"/>
    </xf>
    <xf numFmtId="186" fontId="8" fillId="0" borderId="0" xfId="0" applyNumberFormat="1" applyFont="1"/>
    <xf numFmtId="178" fontId="8" fillId="0" borderId="0" xfId="0" applyNumberFormat="1" applyFont="1"/>
    <xf numFmtId="182" fontId="46" fillId="2" borderId="25" xfId="0" applyNumberFormat="1" applyFont="1" applyFill="1" applyBorder="1"/>
    <xf numFmtId="0" fontId="14" fillId="0" borderId="0" xfId="0" applyFont="1" applyAlignment="1">
      <alignment vertical="center"/>
    </xf>
    <xf numFmtId="0" fontId="33" fillId="0" borderId="0" xfId="0" applyFont="1" applyAlignment="1">
      <alignment horizontal="centerContinuous" vertical="center"/>
    </xf>
    <xf numFmtId="179" fontId="32" fillId="0" borderId="0" xfId="0" applyNumberFormat="1" applyFont="1" applyAlignment="1">
      <alignment horizontal="centerContinuous" vertical="center"/>
    </xf>
    <xf numFmtId="0" fontId="6" fillId="11" borderId="3" xfId="0" applyFont="1" applyFill="1" applyBorder="1" applyAlignment="1" applyProtection="1">
      <alignment horizontal="center" vertical="center"/>
      <protection locked="0"/>
    </xf>
    <xf numFmtId="0" fontId="6" fillId="11" borderId="6" xfId="0" applyFont="1" applyFill="1" applyBorder="1" applyAlignment="1" applyProtection="1">
      <alignment horizontal="center" vertical="center"/>
      <protection locked="0"/>
    </xf>
    <xf numFmtId="177" fontId="6" fillId="11" borderId="3" xfId="0" applyNumberFormat="1" applyFont="1" applyFill="1" applyBorder="1" applyAlignment="1" applyProtection="1">
      <alignment horizontal="center" vertical="center"/>
      <protection locked="0"/>
    </xf>
    <xf numFmtId="0" fontId="4" fillId="11" borderId="3" xfId="0" applyFont="1" applyFill="1" applyBorder="1" applyAlignment="1" applyProtection="1">
      <alignment horizontal="center" vertical="center"/>
      <protection locked="0"/>
    </xf>
    <xf numFmtId="0" fontId="4" fillId="11" borderId="6" xfId="0" applyFont="1" applyFill="1" applyBorder="1" applyAlignment="1" applyProtection="1">
      <alignment horizontal="center" vertical="center"/>
      <protection locked="0"/>
    </xf>
    <xf numFmtId="183" fontId="0" fillId="11" borderId="1" xfId="0" applyNumberFormat="1" applyFill="1" applyBorder="1"/>
    <xf numFmtId="181" fontId="0" fillId="11" borderId="1" xfId="0" applyNumberFormat="1" applyFill="1" applyBorder="1"/>
    <xf numFmtId="181" fontId="0" fillId="11" borderId="14" xfId="0" applyNumberFormat="1" applyFill="1" applyBorder="1" applyAlignment="1">
      <alignment horizontal="centerContinuous"/>
    </xf>
    <xf numFmtId="0" fontId="0" fillId="11" borderId="1" xfId="0" applyFill="1" applyBorder="1"/>
    <xf numFmtId="0" fontId="0" fillId="11" borderId="26" xfId="0" applyFill="1" applyBorder="1"/>
    <xf numFmtId="0" fontId="0" fillId="11" borderId="3" xfId="0" applyFill="1" applyBorder="1"/>
    <xf numFmtId="1" fontId="42" fillId="11" borderId="1" xfId="0" applyNumberFormat="1" applyFont="1" applyFill="1" applyBorder="1"/>
    <xf numFmtId="182" fontId="42" fillId="11" borderId="1" xfId="0" applyNumberFormat="1" applyFont="1" applyFill="1" applyBorder="1"/>
    <xf numFmtId="0" fontId="23" fillId="0" borderId="0" xfId="0" applyFont="1" applyAlignment="1">
      <alignment horizontal="centerContinuous"/>
    </xf>
    <xf numFmtId="0" fontId="0" fillId="0" borderId="27" xfId="0" applyBorder="1" applyAlignment="1">
      <alignment horizontal="center"/>
    </xf>
    <xf numFmtId="190" fontId="0" fillId="0" borderId="28" xfId="0" applyNumberFormat="1" applyBorder="1" applyAlignment="1">
      <alignment horizontal="centerContinuous"/>
    </xf>
    <xf numFmtId="189" fontId="0" fillId="0" borderId="29" xfId="0" applyNumberFormat="1" applyBorder="1" applyAlignment="1">
      <alignment horizontal="centerContinuous"/>
    </xf>
    <xf numFmtId="0" fontId="0" fillId="0" borderId="28" xfId="0" applyBorder="1"/>
    <xf numFmtId="185" fontId="0" fillId="0" borderId="30" xfId="0" applyNumberFormat="1" applyBorder="1" applyAlignment="1">
      <alignment horizontal="center"/>
    </xf>
    <xf numFmtId="185" fontId="0" fillId="0" borderId="30" xfId="0" applyNumberFormat="1" applyBorder="1"/>
    <xf numFmtId="185" fontId="0" fillId="0" borderId="31" xfId="0" applyNumberFormat="1" applyBorder="1" applyAlignment="1">
      <alignment horizontal="center"/>
    </xf>
    <xf numFmtId="185" fontId="0" fillId="0" borderId="31" xfId="0" applyNumberFormat="1" applyBorder="1"/>
    <xf numFmtId="0" fontId="47" fillId="0" borderId="0" xfId="0" applyFont="1"/>
    <xf numFmtId="0" fontId="0" fillId="0" borderId="0" xfId="0" applyAlignment="1">
      <alignment horizontal="right"/>
    </xf>
    <xf numFmtId="0" fontId="28" fillId="0" borderId="0" xfId="0" applyFont="1"/>
    <xf numFmtId="0" fontId="0" fillId="0" borderId="32" xfId="0" applyBorder="1" applyAlignment="1">
      <alignment horizontal="center"/>
    </xf>
    <xf numFmtId="0" fontId="0" fillId="5" borderId="33" xfId="0" applyFill="1" applyBorder="1"/>
    <xf numFmtId="0" fontId="0" fillId="0" borderId="34" xfId="0" applyBorder="1" applyAlignment="1">
      <alignment horizontal="center"/>
    </xf>
    <xf numFmtId="0" fontId="0" fillId="5" borderId="35" xfId="0" applyFill="1" applyBorder="1"/>
    <xf numFmtId="176" fontId="0" fillId="12" borderId="33" xfId="0" applyNumberFormat="1" applyFill="1" applyBorder="1"/>
    <xf numFmtId="176" fontId="0" fillId="12" borderId="35" xfId="0" applyNumberFormat="1" applyFill="1" applyBorder="1"/>
    <xf numFmtId="0" fontId="4" fillId="0" borderId="34" xfId="0" applyFont="1" applyBorder="1" applyAlignment="1">
      <alignment horizontal="center"/>
    </xf>
    <xf numFmtId="188" fontId="0" fillId="12" borderId="35" xfId="0" applyNumberFormat="1" applyFill="1" applyBorder="1"/>
    <xf numFmtId="0" fontId="0" fillId="0" borderId="36" xfId="0" applyBorder="1" applyAlignment="1">
      <alignment horizontal="center"/>
    </xf>
    <xf numFmtId="0" fontId="0" fillId="5" borderId="37" xfId="0" applyFill="1" applyBorder="1"/>
    <xf numFmtId="176" fontId="0" fillId="12" borderId="37" xfId="0" applyNumberFormat="1" applyFill="1" applyBorder="1"/>
    <xf numFmtId="0" fontId="1" fillId="0" borderId="0" xfId="0" applyFont="1"/>
    <xf numFmtId="0" fontId="28" fillId="0" borderId="27" xfId="0" applyFont="1" applyBorder="1" applyAlignment="1">
      <alignment horizontal="centerContinuous"/>
    </xf>
    <xf numFmtId="0" fontId="28" fillId="0" borderId="38" xfId="0" applyFont="1" applyBorder="1" applyAlignment="1">
      <alignment horizontal="centerContinuous"/>
    </xf>
    <xf numFmtId="0" fontId="28" fillId="0" borderId="39" xfId="0" applyFont="1" applyBorder="1" applyAlignment="1">
      <alignment horizontal="centerContinuous"/>
    </xf>
    <xf numFmtId="0" fontId="0" fillId="0" borderId="38" xfId="0" applyBorder="1" applyAlignment="1">
      <alignment horizontal="centerContinuous"/>
    </xf>
    <xf numFmtId="0" fontId="0" fillId="0" borderId="39" xfId="0" applyBorder="1" applyAlignment="1">
      <alignment horizontal="centerContinuous"/>
    </xf>
    <xf numFmtId="0" fontId="1" fillId="0" borderId="27" xfId="0" applyFont="1" applyBorder="1" applyAlignment="1">
      <alignment horizontal="centerContinuous"/>
    </xf>
    <xf numFmtId="0" fontId="0" fillId="0" borderId="40" xfId="0" applyBorder="1" applyAlignment="1">
      <alignment horizontal="centerContinuous"/>
    </xf>
    <xf numFmtId="0" fontId="0" fillId="0" borderId="41" xfId="0" applyBorder="1" applyAlignment="1">
      <alignment horizontal="centerContinuous"/>
    </xf>
    <xf numFmtId="0" fontId="0" fillId="0" borderId="42" xfId="0" applyBorder="1" applyAlignment="1">
      <alignment horizontal="centerContinuous"/>
    </xf>
    <xf numFmtId="0" fontId="0" fillId="0" borderId="43" xfId="0" applyBorder="1" applyAlignment="1">
      <alignment horizontal="centerContinuous"/>
    </xf>
    <xf numFmtId="0" fontId="0" fillId="0" borderId="44" xfId="0" applyBorder="1" applyAlignment="1">
      <alignment horizontal="centerContinuous"/>
    </xf>
    <xf numFmtId="0" fontId="10" fillId="0" borderId="28" xfId="0" applyFont="1" applyBorder="1" applyAlignment="1">
      <alignment horizontal="center" wrapText="1"/>
    </xf>
    <xf numFmtId="0" fontId="4" fillId="0" borderId="4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/>
    <xf numFmtId="1" fontId="0" fillId="0" borderId="47" xfId="0" applyNumberFormat="1" applyBorder="1"/>
    <xf numFmtId="2" fontId="0" fillId="0" borderId="32" xfId="0" applyNumberFormat="1" applyBorder="1"/>
    <xf numFmtId="2" fontId="0" fillId="0" borderId="48" xfId="0" applyNumberFormat="1" applyBorder="1"/>
    <xf numFmtId="2" fontId="0" fillId="0" borderId="33" xfId="0" applyNumberFormat="1" applyBorder="1"/>
    <xf numFmtId="1" fontId="0" fillId="0" borderId="32" xfId="0" applyNumberFormat="1" applyBorder="1"/>
    <xf numFmtId="1" fontId="0" fillId="0" borderId="48" xfId="0" applyNumberFormat="1" applyBorder="1"/>
    <xf numFmtId="1" fontId="0" fillId="0" borderId="33" xfId="0" applyNumberFormat="1" applyBorder="1"/>
    <xf numFmtId="0" fontId="0" fillId="0" borderId="49" xfId="0" applyBorder="1"/>
    <xf numFmtId="1" fontId="0" fillId="0" borderId="49" xfId="0" applyNumberFormat="1" applyBorder="1"/>
    <xf numFmtId="2" fontId="0" fillId="0" borderId="34" xfId="0" applyNumberFormat="1" applyBorder="1"/>
    <xf numFmtId="2" fontId="0" fillId="0" borderId="50" xfId="0" applyNumberFormat="1" applyBorder="1"/>
    <xf numFmtId="2" fontId="0" fillId="0" borderId="35" xfId="0" applyNumberFormat="1" applyBorder="1"/>
    <xf numFmtId="1" fontId="0" fillId="0" borderId="34" xfId="0" applyNumberFormat="1" applyBorder="1"/>
    <xf numFmtId="1" fontId="0" fillId="0" borderId="50" xfId="0" applyNumberFormat="1" applyBorder="1"/>
    <xf numFmtId="1" fontId="0" fillId="0" borderId="35" xfId="0" applyNumberFormat="1" applyBorder="1"/>
    <xf numFmtId="0" fontId="0" fillId="13" borderId="49" xfId="0" applyFill="1" applyBorder="1"/>
    <xf numFmtId="1" fontId="0" fillId="13" borderId="49" xfId="0" applyNumberFormat="1" applyFill="1" applyBorder="1"/>
    <xf numFmtId="2" fontId="0" fillId="13" borderId="50" xfId="0" applyNumberFormat="1" applyFill="1" applyBorder="1"/>
    <xf numFmtId="2" fontId="0" fillId="13" borderId="35" xfId="0" applyNumberFormat="1" applyFill="1" applyBorder="1"/>
    <xf numFmtId="1" fontId="0" fillId="13" borderId="50" xfId="0" applyNumberFormat="1" applyFill="1" applyBorder="1"/>
    <xf numFmtId="1" fontId="0" fillId="13" borderId="35" xfId="0" applyNumberFormat="1" applyFill="1" applyBorder="1"/>
    <xf numFmtId="0" fontId="0" fillId="0" borderId="51" xfId="0" applyBorder="1"/>
    <xf numFmtId="1" fontId="0" fillId="0" borderId="51" xfId="0" applyNumberFormat="1" applyBorder="1"/>
    <xf numFmtId="2" fontId="0" fillId="0" borderId="36" xfId="0" applyNumberFormat="1" applyBorder="1"/>
    <xf numFmtId="2" fontId="0" fillId="0" borderId="52" xfId="0" applyNumberFormat="1" applyBorder="1"/>
    <xf numFmtId="2" fontId="0" fillId="0" borderId="37" xfId="0" applyNumberFormat="1" applyBorder="1"/>
    <xf numFmtId="1" fontId="0" fillId="0" borderId="36" xfId="0" applyNumberFormat="1" applyBorder="1"/>
    <xf numFmtId="1" fontId="0" fillId="0" borderId="52" xfId="0" applyNumberFormat="1" applyBorder="1"/>
    <xf numFmtId="1" fontId="0" fillId="0" borderId="37" xfId="0" applyNumberFormat="1" applyBorder="1"/>
    <xf numFmtId="191" fontId="0" fillId="0" borderId="32" xfId="0" applyNumberFormat="1" applyBorder="1"/>
    <xf numFmtId="191" fontId="0" fillId="0" borderId="48" xfId="0" applyNumberFormat="1" applyBorder="1"/>
    <xf numFmtId="191" fontId="0" fillId="0" borderId="33" xfId="0" applyNumberFormat="1" applyBorder="1"/>
    <xf numFmtId="191" fontId="0" fillId="0" borderId="34" xfId="0" applyNumberFormat="1" applyBorder="1"/>
    <xf numFmtId="191" fontId="0" fillId="0" borderId="50" xfId="0" applyNumberFormat="1" applyBorder="1"/>
    <xf numFmtId="191" fontId="0" fillId="0" borderId="35" xfId="0" applyNumberFormat="1" applyBorder="1"/>
    <xf numFmtId="191" fontId="0" fillId="0" borderId="36" xfId="0" applyNumberFormat="1" applyBorder="1"/>
    <xf numFmtId="191" fontId="0" fillId="0" borderId="52" xfId="0" applyNumberFormat="1" applyBorder="1"/>
    <xf numFmtId="191" fontId="0" fillId="0" borderId="37" xfId="0" applyNumberFormat="1" applyBorder="1"/>
    <xf numFmtId="191" fontId="0" fillId="0" borderId="0" xfId="0" applyNumberFormat="1"/>
    <xf numFmtId="0" fontId="0" fillId="0" borderId="28" xfId="0" applyBorder="1" applyAlignment="1">
      <alignment horizontal="center"/>
    </xf>
    <xf numFmtId="0" fontId="0" fillId="14" borderId="53" xfId="0" applyFill="1" applyBorder="1" applyAlignment="1">
      <alignment horizontal="center"/>
    </xf>
    <xf numFmtId="0" fontId="0" fillId="0" borderId="54" xfId="0" applyBorder="1"/>
    <xf numFmtId="0" fontId="0" fillId="0" borderId="53" xfId="0" applyBorder="1" applyAlignment="1">
      <alignment horizontal="center"/>
    </xf>
    <xf numFmtId="0" fontId="0" fillId="14" borderId="53" xfId="0" applyFill="1" applyBorder="1"/>
    <xf numFmtId="0" fontId="0" fillId="0" borderId="30" xfId="0" applyBorder="1" applyAlignment="1">
      <alignment horizontal="center"/>
    </xf>
    <xf numFmtId="0" fontId="0" fillId="14" borderId="30" xfId="0" applyFill="1" applyBorder="1"/>
    <xf numFmtId="0" fontId="0" fillId="5" borderId="30" xfId="0" applyFill="1" applyBorder="1"/>
    <xf numFmtId="0" fontId="0" fillId="5" borderId="1" xfId="0" applyFill="1" applyBorder="1" applyAlignment="1">
      <alignment horizontal="center"/>
    </xf>
    <xf numFmtId="0" fontId="0" fillId="14" borderId="55" xfId="0" applyFill="1" applyBorder="1"/>
    <xf numFmtId="0" fontId="0" fillId="0" borderId="31" xfId="0" applyBorder="1" applyAlignment="1">
      <alignment horizontal="center"/>
    </xf>
    <xf numFmtId="0" fontId="0" fillId="5" borderId="31" xfId="0" applyFill="1" applyBorder="1"/>
    <xf numFmtId="0" fontId="0" fillId="0" borderId="56" xfId="0" applyBorder="1" applyAlignment="1">
      <alignment horizontal="center"/>
    </xf>
    <xf numFmtId="176" fontId="0" fillId="12" borderId="53" xfId="0" applyNumberFormat="1" applyFill="1" applyBorder="1"/>
    <xf numFmtId="0" fontId="0" fillId="12" borderId="1" xfId="0" applyFill="1" applyBorder="1" applyAlignment="1">
      <alignment horizontal="center"/>
    </xf>
    <xf numFmtId="0" fontId="0" fillId="0" borderId="57" xfId="0" applyBorder="1" applyAlignment="1">
      <alignment horizontal="center"/>
    </xf>
    <xf numFmtId="176" fontId="0" fillId="12" borderId="30" xfId="0" applyNumberFormat="1" applyFill="1" applyBorder="1"/>
    <xf numFmtId="178" fontId="0" fillId="12" borderId="30" xfId="0" applyNumberFormat="1" applyFill="1" applyBorder="1"/>
    <xf numFmtId="187" fontId="0" fillId="12" borderId="30" xfId="0" applyNumberFormat="1" applyFill="1" applyBorder="1"/>
    <xf numFmtId="178" fontId="0" fillId="12" borderId="31" xfId="0" applyNumberFormat="1" applyFill="1" applyBorder="1"/>
    <xf numFmtId="0" fontId="0" fillId="14" borderId="1" xfId="0" applyFill="1" applyBorder="1" applyAlignment="1">
      <alignment horizontal="center"/>
    </xf>
    <xf numFmtId="1" fontId="0" fillId="14" borderId="30" xfId="0" applyNumberFormat="1" applyFill="1" applyBorder="1"/>
    <xf numFmtId="2" fontId="0" fillId="14" borderId="30" xfId="0" applyNumberFormat="1" applyFill="1" applyBorder="1"/>
    <xf numFmtId="0" fontId="0" fillId="14" borderId="31" xfId="0" applyFill="1" applyBorder="1"/>
    <xf numFmtId="0" fontId="23" fillId="4" borderId="2" xfId="0" applyFont="1" applyFill="1" applyBorder="1" applyAlignment="1">
      <alignment horizontal="left" vertical="center"/>
    </xf>
    <xf numFmtId="0" fontId="25" fillId="15" borderId="0" xfId="0" applyFont="1" applyFill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8" fillId="15" borderId="0" xfId="0" applyFont="1" applyFill="1" applyAlignment="1">
      <alignment horizontal="centerContinuous" vertical="center"/>
    </xf>
    <xf numFmtId="0" fontId="8" fillId="15" borderId="0" xfId="0" applyFont="1" applyFill="1" applyAlignment="1">
      <alignment horizontal="center" vertical="center"/>
    </xf>
    <xf numFmtId="0" fontId="25" fillId="15" borderId="0" xfId="0" applyFont="1" applyFill="1" applyAlignment="1">
      <alignment horizontal="centerContinuous" vertical="center" wrapText="1"/>
    </xf>
    <xf numFmtId="1" fontId="8" fillId="15" borderId="0" xfId="0" applyNumberFormat="1" applyFont="1" applyFill="1" applyAlignment="1">
      <alignment horizontal="centerContinuous" vertical="center"/>
    </xf>
    <xf numFmtId="2" fontId="8" fillId="15" borderId="0" xfId="0" applyNumberFormat="1" applyFont="1" applyFill="1" applyAlignment="1">
      <alignment horizontal="centerContinuous" vertical="center"/>
    </xf>
    <xf numFmtId="0" fontId="25" fillId="15" borderId="0" xfId="0" applyFont="1" applyFill="1" applyAlignment="1">
      <alignment horizontal="center" vertical="center"/>
    </xf>
    <xf numFmtId="0" fontId="48" fillId="0" borderId="0" xfId="0" applyFont="1"/>
    <xf numFmtId="192" fontId="8" fillId="15" borderId="0" xfId="0" applyNumberFormat="1" applyFont="1" applyFill="1" applyAlignment="1">
      <alignment horizontal="center" vertical="center"/>
    </xf>
    <xf numFmtId="0" fontId="25" fillId="15" borderId="0" xfId="0" applyFont="1" applyFill="1"/>
    <xf numFmtId="0" fontId="8" fillId="15" borderId="0" xfId="0" applyFont="1" applyFill="1" applyAlignment="1">
      <alignment horizontal="center" vertical="center" wrapText="1"/>
    </xf>
    <xf numFmtId="0" fontId="1" fillId="4" borderId="15" xfId="0" applyFont="1" applyFill="1" applyBorder="1"/>
    <xf numFmtId="0" fontId="1" fillId="4" borderId="26" xfId="0" applyFont="1" applyFill="1" applyBorder="1"/>
    <xf numFmtId="2" fontId="25" fillId="15" borderId="2" xfId="0" applyNumberFormat="1" applyFont="1" applyFill="1" applyBorder="1" applyAlignment="1">
      <alignment horizontal="centerContinuous" vertical="center"/>
    </xf>
    <xf numFmtId="2" fontId="25" fillId="15" borderId="5" xfId="0" applyNumberFormat="1" applyFont="1" applyFill="1" applyBorder="1" applyAlignment="1">
      <alignment horizontal="centerContinuous" vertical="center"/>
    </xf>
    <xf numFmtId="1" fontId="25" fillId="15" borderId="2" xfId="0" applyNumberFormat="1" applyFont="1" applyFill="1" applyBorder="1" applyAlignment="1">
      <alignment horizontal="centerContinuous" vertical="center"/>
    </xf>
    <xf numFmtId="1" fontId="25" fillId="15" borderId="5" xfId="0" applyNumberFormat="1" applyFont="1" applyFill="1" applyBorder="1" applyAlignment="1">
      <alignment horizontal="centerContinuous" vertical="center"/>
    </xf>
    <xf numFmtId="0" fontId="1" fillId="3" borderId="2" xfId="0" applyFont="1" applyFill="1" applyBorder="1" applyAlignment="1">
      <alignment horizontal="centerContinuous" vertical="center"/>
    </xf>
    <xf numFmtId="0" fontId="49" fillId="15" borderId="0" xfId="0" applyFont="1" applyFill="1"/>
    <xf numFmtId="0" fontId="49" fillId="0" borderId="0" xfId="0" applyFont="1"/>
    <xf numFmtId="0" fontId="50" fillId="2" borderId="0" xfId="0" applyFont="1" applyFill="1"/>
    <xf numFmtId="0" fontId="37" fillId="2" borderId="0" xfId="0" applyFont="1" applyFill="1" applyAlignment="1">
      <alignment horizontal="center"/>
    </xf>
    <xf numFmtId="49" fontId="9" fillId="0" borderId="0" xfId="0" applyNumberFormat="1" applyFont="1" applyAlignment="1">
      <alignment horizontal="centerContinuous" vertical="center" wrapText="1"/>
    </xf>
    <xf numFmtId="0" fontId="5" fillId="9" borderId="0" xfId="0" applyFont="1" applyFill="1" applyAlignment="1">
      <alignment horizontal="centerContinuous" vertical="center"/>
    </xf>
    <xf numFmtId="0" fontId="6" fillId="9" borderId="0" xfId="0" applyFont="1" applyFill="1" applyAlignment="1">
      <alignment horizontal="centerContinuous" vertical="center"/>
    </xf>
    <xf numFmtId="0" fontId="35" fillId="9" borderId="14" xfId="0" applyFont="1" applyFill="1" applyBorder="1" applyAlignment="1">
      <alignment horizontal="centerContinuous" vertical="center"/>
    </xf>
    <xf numFmtId="0" fontId="0" fillId="9" borderId="0" xfId="0" applyFill="1" applyAlignment="1">
      <alignment horizontal="centerContinuous" vertical="center"/>
    </xf>
    <xf numFmtId="0" fontId="0" fillId="9" borderId="0" xfId="0" applyFill="1" applyAlignment="1">
      <alignment horizontal="centerContinuous"/>
    </xf>
    <xf numFmtId="0" fontId="35" fillId="16" borderId="0" xfId="0" applyFont="1" applyFill="1" applyAlignment="1">
      <alignment horizontal="centerContinuous" vertical="center"/>
    </xf>
    <xf numFmtId="0" fontId="6" fillId="16" borderId="0" xfId="0" applyFont="1" applyFill="1" applyAlignment="1">
      <alignment horizontal="centerContinuous" vertical="center"/>
    </xf>
    <xf numFmtId="0" fontId="13" fillId="4" borderId="12" xfId="0" applyFont="1" applyFill="1" applyBorder="1" applyAlignment="1">
      <alignment horizontal="center" vertical="center"/>
    </xf>
    <xf numFmtId="0" fontId="6" fillId="7" borderId="12" xfId="0" applyFont="1" applyFill="1" applyBorder="1" applyAlignment="1" applyProtection="1">
      <alignment horizontal="center" vertical="center"/>
      <protection locked="0"/>
    </xf>
    <xf numFmtId="0" fontId="8" fillId="7" borderId="58" xfId="0" applyFont="1" applyFill="1" applyBorder="1" applyAlignment="1" applyProtection="1">
      <alignment horizontal="center" vertical="center"/>
      <protection locked="0"/>
    </xf>
    <xf numFmtId="0" fontId="6" fillId="11" borderId="12" xfId="0" applyFont="1" applyFill="1" applyBorder="1" applyAlignment="1" applyProtection="1">
      <alignment horizontal="center" vertical="center"/>
      <protection locked="0"/>
    </xf>
    <xf numFmtId="0" fontId="2" fillId="11" borderId="12" xfId="0" applyFont="1" applyFill="1" applyBorder="1" applyAlignment="1">
      <alignment horizontal="centerContinuous" vertical="center"/>
    </xf>
    <xf numFmtId="0" fontId="6" fillId="11" borderId="58" xfId="0" applyFont="1" applyFill="1" applyBorder="1" applyAlignment="1" applyProtection="1">
      <alignment horizontal="center" vertical="center"/>
      <protection locked="0"/>
    </xf>
    <xf numFmtId="179" fontId="29" fillId="0" borderId="0" xfId="0" applyNumberFormat="1" applyFont="1" applyAlignment="1">
      <alignment horizontal="centerContinuous" shrinkToFit="1"/>
    </xf>
    <xf numFmtId="49" fontId="12" fillId="0" borderId="0" xfId="0" applyNumberFormat="1" applyFont="1" applyAlignment="1">
      <alignment horizontal="centerContinuous" vertical="center" shrinkToFit="1"/>
    </xf>
    <xf numFmtId="0" fontId="13" fillId="4" borderId="59" xfId="0" applyFont="1" applyFill="1" applyBorder="1" applyAlignment="1" applyProtection="1">
      <alignment horizontal="center" vertical="center"/>
      <protection locked="0"/>
    </xf>
    <xf numFmtId="0" fontId="6" fillId="11" borderId="60" xfId="0" applyFont="1" applyFill="1" applyBorder="1" applyAlignment="1" applyProtection="1">
      <alignment horizontal="center" vertical="center"/>
      <protection locked="0"/>
    </xf>
    <xf numFmtId="0" fontId="6" fillId="5" borderId="60" xfId="0" applyFont="1" applyFill="1" applyBorder="1" applyAlignment="1" applyProtection="1">
      <alignment horizontal="center" vertical="center"/>
      <protection locked="0"/>
    </xf>
    <xf numFmtId="0" fontId="23" fillId="4" borderId="59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Continuous" vertical="center"/>
    </xf>
    <xf numFmtId="0" fontId="4" fillId="5" borderId="62" xfId="0" applyFont="1" applyFill="1" applyBorder="1" applyAlignment="1" applyProtection="1">
      <alignment horizontal="center" vertical="center"/>
      <protection locked="0"/>
    </xf>
    <xf numFmtId="0" fontId="23" fillId="4" borderId="59" xfId="0" applyFont="1" applyFill="1" applyBorder="1" applyAlignment="1">
      <alignment horizontal="left" vertical="center"/>
    </xf>
    <xf numFmtId="0" fontId="4" fillId="5" borderId="63" xfId="0" applyFont="1" applyFill="1" applyBorder="1" applyAlignment="1" applyProtection="1">
      <alignment horizontal="center" vertical="center"/>
      <protection locked="0"/>
    </xf>
    <xf numFmtId="0" fontId="6" fillId="11" borderId="64" xfId="0" applyFont="1" applyFill="1" applyBorder="1" applyAlignment="1" applyProtection="1">
      <alignment horizontal="center" vertical="center"/>
      <protection locked="0"/>
    </xf>
    <xf numFmtId="49" fontId="10" fillId="0" borderId="0" xfId="0" applyNumberFormat="1" applyFont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vertical="center" wrapText="1"/>
    </xf>
    <xf numFmtId="49" fontId="10" fillId="0" borderId="0" xfId="0" applyNumberFormat="1" applyFont="1" applyAlignment="1">
      <alignment vertical="center"/>
    </xf>
    <xf numFmtId="0" fontId="8" fillId="15" borderId="1" xfId="0" applyFont="1" applyFill="1" applyBorder="1" applyAlignment="1">
      <alignment horizontal="center" vertical="center"/>
    </xf>
    <xf numFmtId="0" fontId="8" fillId="15" borderId="0" xfId="0" applyFont="1" applyFill="1" applyAlignment="1">
      <alignment horizontal="center" vertical="center"/>
    </xf>
    <xf numFmtId="192" fontId="8" fillId="15" borderId="1" xfId="0" applyNumberFormat="1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4" fillId="5" borderId="65" xfId="0" applyFont="1" applyFill="1" applyBorder="1" applyAlignment="1" applyProtection="1">
      <alignment horizontal="center" vertical="center"/>
      <protection locked="0"/>
    </xf>
    <xf numFmtId="0" fontId="0" fillId="0" borderId="62" xfId="0" applyBorder="1"/>
    <xf numFmtId="0" fontId="0" fillId="0" borderId="13" xfId="0" quotePrefix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0" xfId="0" applyAlignment="1">
      <alignment vertical="center"/>
    </xf>
    <xf numFmtId="0" fontId="1" fillId="4" borderId="3" xfId="0" applyFont="1" applyFill="1" applyBorder="1" applyAlignment="1" applyProtection="1">
      <alignment horizontal="center" vertical="center"/>
      <protection locked="0"/>
    </xf>
    <xf numFmtId="0" fontId="1" fillId="4" borderId="59" xfId="0" applyFont="1" applyFill="1" applyBorder="1" applyAlignment="1" applyProtection="1">
      <alignment horizontal="center" vertical="center"/>
      <protection locked="0"/>
    </xf>
    <xf numFmtId="0" fontId="0" fillId="11" borderId="6" xfId="0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1">
    <dxf>
      <fill>
        <patternFill>
          <bgColor indexed="1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99CC"/>
      <rgbColor rgb="00FFFF00"/>
      <rgbColor rgb="0000FFFF"/>
      <rgbColor rgb="00FF9966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lockText="1"/>
</file>

<file path=xl/ctrlProps/ctrlProp9.xml><?xml version="1.0" encoding="utf-8"?>
<formControlPr xmlns="http://schemas.microsoft.com/office/spreadsheetml/2009/9/main" objectType="Radio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firstButton="1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Radio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Radio" lockText="1"/>
</file>

<file path=xl/ctrlProps/ctrlProp17.xml><?xml version="1.0" encoding="utf-8"?>
<formControlPr xmlns="http://schemas.microsoft.com/office/spreadsheetml/2009/9/main" objectType="Radio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Radio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List" dx="21" sel="6" val="0">
  <itemLst>
    <item val="バリ取り"/>
    <item val="ドッグ面取り"/>
    <item val="銅メッキ"/>
    <item val="コーベット"/>
    <item val="ﾊﾟｰｺﾘｭｰﾌﾞﾗｲﾄ"/>
    <item val="ｼｮｯﾄﾋﾟｰﾆﾝｸﾞ"/>
    <item val="出荷"/>
    <item val="歯車熱前"/>
    <item val="ブランク"/>
  </itemLst>
</formControlPr>
</file>

<file path=xl/ctrlProps/ctrlProp26.xml><?xml version="1.0" encoding="utf-8"?>
<formControlPr xmlns="http://schemas.microsoft.com/office/spreadsheetml/2009/9/main" objectType="List" dx="21" sel="2" val="0">
  <itemLst>
    <item val="前工程"/>
    <item val="後工程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List" dx="21" noThreeD="1" sel="0" val="0">
  <itemLst>
    <item val="Ｆ１"/>
    <item val="Ｆ２"/>
    <item val="Ｆ３"/>
    <item val="ﾌﾞﾗﾝｸ"/>
  </itemLst>
</formControlPr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63</xdr:row>
      <xdr:rowOff>0</xdr:rowOff>
    </xdr:from>
    <xdr:to>
      <xdr:col>3</xdr:col>
      <xdr:colOff>35642</xdr:colOff>
      <xdr:row>64</xdr:row>
      <xdr:rowOff>0</xdr:rowOff>
    </xdr:to>
    <xdr:pic>
      <xdr:nvPicPr>
        <xdr:cNvPr id="22" name="改訂履歴1">
          <a:extLst>
            <a:ext uri="{FF2B5EF4-FFF2-40B4-BE49-F238E27FC236}">
              <a16:creationId xmlns:a16="http://schemas.microsoft.com/office/drawing/2014/main" id="{F9307CC9-0D68-461B-B432-1ACA09D25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4325" y="14716125"/>
          <a:ext cx="311867" cy="2762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57</xdr:col>
      <xdr:colOff>228600</xdr:colOff>
      <xdr:row>68</xdr:row>
      <xdr:rowOff>0</xdr:rowOff>
    </xdr:to>
    <xdr:sp macro="" textlink="">
      <xdr:nvSpPr>
        <xdr:cNvPr id="23294" name="Rectangle 458">
          <a:extLst>
            <a:ext uri="{FF2B5EF4-FFF2-40B4-BE49-F238E27FC236}">
              <a16:creationId xmlns:a16="http://schemas.microsoft.com/office/drawing/2014/main" id="{00000000-0008-0000-0000-0000FE5A0000}"/>
            </a:ext>
          </a:extLst>
        </xdr:cNvPr>
        <xdr:cNvSpPr>
          <a:spLocks noChangeArrowheads="1"/>
        </xdr:cNvSpPr>
      </xdr:nvSpPr>
      <xdr:spPr bwMode="auto">
        <a:xfrm>
          <a:off x="0" y="8686800"/>
          <a:ext cx="11049000" cy="7410450"/>
        </a:xfrm>
        <a:custGeom>
          <a:avLst/>
          <a:gdLst>
            <a:gd name="T0" fmla="*/ 0 w 11049000"/>
            <a:gd name="T1" fmla="*/ 0 h 7410450"/>
            <a:gd name="T2" fmla="*/ 11049000 w 11049000"/>
            <a:gd name="T3" fmla="*/ 0 h 7410450"/>
            <a:gd name="T4" fmla="*/ 11049000 w 11049000"/>
            <a:gd name="T5" fmla="*/ 7410450 h 7410450"/>
            <a:gd name="T6" fmla="*/ 0 w 11049000"/>
            <a:gd name="T7" fmla="*/ 7410450 h 7410450"/>
            <a:gd name="T8" fmla="*/ 0 w 11049000"/>
            <a:gd name="T9" fmla="*/ 0 h 74104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1049000"/>
            <a:gd name="T16" fmla="*/ 0 h 7410450"/>
            <a:gd name="T17" fmla="*/ 11049000 w 11049000"/>
            <a:gd name="T18" fmla="*/ 7410450 h 74104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1049000" h="7410450">
              <a:moveTo>
                <a:pt x="0" y="0"/>
              </a:moveTo>
              <a:lnTo>
                <a:pt x="11049000" y="0"/>
              </a:lnTo>
              <a:lnTo>
                <a:pt x="11049000" y="7410450"/>
              </a:lnTo>
              <a:lnTo>
                <a:pt x="0" y="7410450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7</xdr:row>
      <xdr:rowOff>0</xdr:rowOff>
    </xdr:from>
    <xdr:to>
      <xdr:col>58</xdr:col>
      <xdr:colOff>0</xdr:colOff>
      <xdr:row>38</xdr:row>
      <xdr:rowOff>0</xdr:rowOff>
    </xdr:to>
    <xdr:sp macro="" textlink="">
      <xdr:nvSpPr>
        <xdr:cNvPr id="23295" name="Rectangle 579">
          <a:extLst>
            <a:ext uri="{FF2B5EF4-FFF2-40B4-BE49-F238E27FC236}">
              <a16:creationId xmlns:a16="http://schemas.microsoft.com/office/drawing/2014/main" id="{00000000-0008-0000-0000-0000FF5A0000}"/>
            </a:ext>
          </a:extLst>
        </xdr:cNvPr>
        <xdr:cNvSpPr>
          <a:spLocks noChangeArrowheads="1"/>
        </xdr:cNvSpPr>
      </xdr:nvSpPr>
      <xdr:spPr bwMode="auto">
        <a:xfrm>
          <a:off x="0" y="1600200"/>
          <a:ext cx="11049000" cy="6572250"/>
        </a:xfrm>
        <a:custGeom>
          <a:avLst/>
          <a:gdLst>
            <a:gd name="T0" fmla="*/ 0 w 11049000"/>
            <a:gd name="T1" fmla="*/ 0 h 6572250"/>
            <a:gd name="T2" fmla="*/ 11049000 w 11049000"/>
            <a:gd name="T3" fmla="*/ 0 h 6572250"/>
            <a:gd name="T4" fmla="*/ 11049000 w 11049000"/>
            <a:gd name="T5" fmla="*/ 6572250 h 6572250"/>
            <a:gd name="T6" fmla="*/ 0 w 11049000"/>
            <a:gd name="T7" fmla="*/ 6572250 h 6572250"/>
            <a:gd name="T8" fmla="*/ 0 w 11049000"/>
            <a:gd name="T9" fmla="*/ 0 h 65722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1049000"/>
            <a:gd name="T16" fmla="*/ 0 h 6572250"/>
            <a:gd name="T17" fmla="*/ 11049000 w 11049000"/>
            <a:gd name="T18" fmla="*/ 6572250 h 65722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1049000" h="6572250">
              <a:moveTo>
                <a:pt x="0" y="0"/>
              </a:moveTo>
              <a:lnTo>
                <a:pt x="11049000" y="0"/>
              </a:lnTo>
              <a:lnTo>
                <a:pt x="11049000" y="6572250"/>
              </a:lnTo>
              <a:lnTo>
                <a:pt x="0" y="6572250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9525</xdr:colOff>
      <xdr:row>5</xdr:row>
      <xdr:rowOff>190500</xdr:rowOff>
    </xdr:from>
    <xdr:to>
      <xdr:col>19</xdr:col>
      <xdr:colOff>9525</xdr:colOff>
      <xdr:row>6</xdr:row>
      <xdr:rowOff>266700</xdr:rowOff>
    </xdr:to>
    <xdr:sp macro="" textlink="貼付けｼｰﾄ!$D$1" fLocksText="0">
      <xdr:nvSpPr>
        <xdr:cNvPr id="1107" name="text_hinmei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 txBox="1">
          <a:spLocks noChangeArrowheads="1"/>
        </xdr:cNvSpPr>
      </xdr:nvSpPr>
      <xdr:spPr bwMode="auto">
        <a:xfrm>
          <a:off x="2543175" y="1095375"/>
          <a:ext cx="1495425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anchor="ctr"/>
        <a:lstStyle/>
        <a:p>
          <a:pPr algn="ctr"/>
          <a:fld id="{9308AE4B-52AE-4CF3-B47C-19AA67FE258F}" type="TxLink">
            <a:rPr lang="ja-JP" altLang="en-US" sz="1400" b="0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G5P</a:t>
          </a:fld>
          <a:endParaRPr lang="ja-JP" altLang="en-US" sz="1400"/>
        </a:p>
      </xdr:txBody>
    </xdr:sp>
    <xdr:clientData/>
  </xdr:twoCellAnchor>
  <xdr:twoCellAnchor>
    <xdr:from>
      <xdr:col>10</xdr:col>
      <xdr:colOff>57150</xdr:colOff>
      <xdr:row>0</xdr:row>
      <xdr:rowOff>38099</xdr:rowOff>
    </xdr:from>
    <xdr:to>
      <xdr:col>29</xdr:col>
      <xdr:colOff>123825</xdr:colOff>
      <xdr:row>5</xdr:row>
      <xdr:rowOff>171449</xdr:rowOff>
    </xdr:to>
    <xdr:sp macro="" textlink="">
      <xdr:nvSpPr>
        <xdr:cNvPr id="17892" name="テキスト 754">
          <a:extLst>
            <a:ext uri="{FF2B5EF4-FFF2-40B4-BE49-F238E27FC236}">
              <a16:creationId xmlns:a16="http://schemas.microsoft.com/office/drawing/2014/main" id="{00000000-0008-0000-0000-0000E4450000}"/>
            </a:ext>
          </a:extLst>
        </xdr:cNvPr>
        <xdr:cNvSpPr txBox="1">
          <a:spLocks noChangeArrowheads="1"/>
        </xdr:cNvSpPr>
      </xdr:nvSpPr>
      <xdr:spPr bwMode="auto">
        <a:xfrm>
          <a:off x="2152650" y="38099"/>
          <a:ext cx="4229100" cy="1038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54864" tIns="32004" rIns="54864" bIns="0" anchor="t" upright="1"/>
        <a:lstStyle/>
        <a:p>
          <a:pPr algn="ctr" rtl="0">
            <a:lnSpc>
              <a:spcPts val="3000"/>
            </a:lnSpc>
            <a:defRPr sz="1000"/>
          </a:pPr>
          <a:r>
            <a:rPr lang="ja-JP" altLang="en-US" sz="2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工   作   図</a:t>
          </a:r>
        </a:p>
        <a:p>
          <a:pPr algn="ctr" rtl="0">
            <a:lnSpc>
              <a:spcPts val="3000"/>
            </a:lnSpc>
            <a:defRPr sz="1000"/>
          </a:pPr>
          <a:r>
            <a:rPr lang="ja-JP" altLang="en-US" sz="2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（ 作   業   標   準   書 ）</a:t>
          </a:r>
        </a:p>
      </xdr:txBody>
    </xdr:sp>
    <xdr:clientData/>
  </xdr:twoCellAnchor>
  <xdr:twoCellAnchor>
    <xdr:from>
      <xdr:col>2</xdr:col>
      <xdr:colOff>0</xdr:colOff>
      <xdr:row>4</xdr:row>
      <xdr:rowOff>209550</xdr:rowOff>
    </xdr:from>
    <xdr:to>
      <xdr:col>9</xdr:col>
      <xdr:colOff>0</xdr:colOff>
      <xdr:row>7</xdr:row>
      <xdr:rowOff>0</xdr:rowOff>
    </xdr:to>
    <xdr:sp macro="" textlink="">
      <xdr:nvSpPr>
        <xdr:cNvPr id="1057" name="text0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 txBox="1">
          <a:spLocks noChangeArrowheads="1"/>
        </xdr:cNvSpPr>
      </xdr:nvSpPr>
      <xdr:spPr bwMode="auto">
        <a:xfrm>
          <a:off x="314325" y="866775"/>
          <a:ext cx="1562100" cy="7334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0" rIns="82296" bIns="50292" anchor="ctr" upright="1"/>
        <a:lstStyle/>
        <a:p>
          <a:pPr algn="ctr" rtl="0">
            <a:defRPr sz="1000"/>
          </a:pPr>
          <a:r>
            <a:rPr lang="en-US" altLang="ja-JP" sz="4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14B</a:t>
          </a:r>
        </a:p>
      </xdr:txBody>
    </xdr:sp>
    <xdr:clientData/>
  </xdr:twoCellAnchor>
  <xdr:twoCellAnchor>
    <xdr:from>
      <xdr:col>43</xdr:col>
      <xdr:colOff>0</xdr:colOff>
      <xdr:row>1</xdr:row>
      <xdr:rowOff>85725</xdr:rowOff>
    </xdr:from>
    <xdr:to>
      <xdr:col>46</xdr:col>
      <xdr:colOff>0</xdr:colOff>
      <xdr:row>6</xdr:row>
      <xdr:rowOff>0</xdr:rowOff>
    </xdr:to>
    <xdr:sp macro="" textlink="">
      <xdr:nvSpPr>
        <xdr:cNvPr id="23299" name="Rectangle 50">
          <a:extLst>
            <a:ext uri="{FF2B5EF4-FFF2-40B4-BE49-F238E27FC236}">
              <a16:creationId xmlns:a16="http://schemas.microsoft.com/office/drawing/2014/main" id="{00000000-0008-0000-0000-0000035B0000}"/>
            </a:ext>
          </a:extLst>
        </xdr:cNvPr>
        <xdr:cNvSpPr>
          <a:spLocks noChangeArrowheads="1"/>
        </xdr:cNvSpPr>
      </xdr:nvSpPr>
      <xdr:spPr bwMode="auto">
        <a:xfrm>
          <a:off x="8753475" y="247650"/>
          <a:ext cx="457200" cy="866775"/>
        </a:xfrm>
        <a:custGeom>
          <a:avLst/>
          <a:gdLst>
            <a:gd name="T0" fmla="*/ 0 w 457200"/>
            <a:gd name="T1" fmla="*/ 0 h 866775"/>
            <a:gd name="T2" fmla="*/ 457200 w 457200"/>
            <a:gd name="T3" fmla="*/ 0 h 866775"/>
            <a:gd name="T4" fmla="*/ 457200 w 457200"/>
            <a:gd name="T5" fmla="*/ 866775 h 866775"/>
            <a:gd name="T6" fmla="*/ 0 w 457200"/>
            <a:gd name="T7" fmla="*/ 866775 h 866775"/>
            <a:gd name="T8" fmla="*/ 0 w 457200"/>
            <a:gd name="T9" fmla="*/ 0 h 86677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57200"/>
            <a:gd name="T16" fmla="*/ 0 h 866775"/>
            <a:gd name="T17" fmla="*/ 457200 w 457200"/>
            <a:gd name="T18" fmla="*/ 866775 h 86677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57200" h="866775">
              <a:moveTo>
                <a:pt x="0" y="0"/>
              </a:moveTo>
              <a:lnTo>
                <a:pt x="457200" y="0"/>
              </a:lnTo>
              <a:lnTo>
                <a:pt x="457200" y="866775"/>
              </a:lnTo>
              <a:lnTo>
                <a:pt x="0" y="866775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</xdr:row>
      <xdr:rowOff>85725</xdr:rowOff>
    </xdr:from>
    <xdr:to>
      <xdr:col>52</xdr:col>
      <xdr:colOff>0</xdr:colOff>
      <xdr:row>6</xdr:row>
      <xdr:rowOff>0</xdr:rowOff>
    </xdr:to>
    <xdr:sp macro="" textlink="">
      <xdr:nvSpPr>
        <xdr:cNvPr id="23300" name="Rectangle 52">
          <a:extLst>
            <a:ext uri="{FF2B5EF4-FFF2-40B4-BE49-F238E27FC236}">
              <a16:creationId xmlns:a16="http://schemas.microsoft.com/office/drawing/2014/main" id="{00000000-0008-0000-0000-0000045B0000}"/>
            </a:ext>
          </a:extLst>
        </xdr:cNvPr>
        <xdr:cNvSpPr>
          <a:spLocks noChangeArrowheads="1"/>
        </xdr:cNvSpPr>
      </xdr:nvSpPr>
      <xdr:spPr bwMode="auto">
        <a:xfrm>
          <a:off x="9667875" y="247650"/>
          <a:ext cx="457200" cy="866775"/>
        </a:xfrm>
        <a:custGeom>
          <a:avLst/>
          <a:gdLst>
            <a:gd name="T0" fmla="*/ 0 w 457200"/>
            <a:gd name="T1" fmla="*/ 0 h 866775"/>
            <a:gd name="T2" fmla="*/ 457200 w 457200"/>
            <a:gd name="T3" fmla="*/ 0 h 866775"/>
            <a:gd name="T4" fmla="*/ 457200 w 457200"/>
            <a:gd name="T5" fmla="*/ 866775 h 866775"/>
            <a:gd name="T6" fmla="*/ 0 w 457200"/>
            <a:gd name="T7" fmla="*/ 866775 h 866775"/>
            <a:gd name="T8" fmla="*/ 0 w 457200"/>
            <a:gd name="T9" fmla="*/ 0 h 86677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57200"/>
            <a:gd name="T16" fmla="*/ 0 h 866775"/>
            <a:gd name="T17" fmla="*/ 457200 w 457200"/>
            <a:gd name="T18" fmla="*/ 866775 h 86677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57200" h="866775">
              <a:moveTo>
                <a:pt x="0" y="0"/>
              </a:moveTo>
              <a:lnTo>
                <a:pt x="457200" y="0"/>
              </a:lnTo>
              <a:lnTo>
                <a:pt x="457200" y="866775"/>
              </a:lnTo>
              <a:lnTo>
                <a:pt x="0" y="866775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0</xdr:colOff>
      <xdr:row>1</xdr:row>
      <xdr:rowOff>85725</xdr:rowOff>
    </xdr:from>
    <xdr:to>
      <xdr:col>58</xdr:col>
      <xdr:colOff>0</xdr:colOff>
      <xdr:row>6</xdr:row>
      <xdr:rowOff>0</xdr:rowOff>
    </xdr:to>
    <xdr:sp macro="" textlink="">
      <xdr:nvSpPr>
        <xdr:cNvPr id="23301" name="Rectangle 54">
          <a:extLst>
            <a:ext uri="{FF2B5EF4-FFF2-40B4-BE49-F238E27FC236}">
              <a16:creationId xmlns:a16="http://schemas.microsoft.com/office/drawing/2014/main" id="{00000000-0008-0000-0000-0000055B0000}"/>
            </a:ext>
          </a:extLst>
        </xdr:cNvPr>
        <xdr:cNvSpPr>
          <a:spLocks noChangeArrowheads="1"/>
        </xdr:cNvSpPr>
      </xdr:nvSpPr>
      <xdr:spPr bwMode="auto">
        <a:xfrm>
          <a:off x="10582275" y="247650"/>
          <a:ext cx="466725" cy="866775"/>
        </a:xfrm>
        <a:custGeom>
          <a:avLst/>
          <a:gdLst>
            <a:gd name="T0" fmla="*/ 0 w 466725"/>
            <a:gd name="T1" fmla="*/ 0 h 866775"/>
            <a:gd name="T2" fmla="*/ 466725 w 466725"/>
            <a:gd name="T3" fmla="*/ 0 h 866775"/>
            <a:gd name="T4" fmla="*/ 466725 w 466725"/>
            <a:gd name="T5" fmla="*/ 866775 h 866775"/>
            <a:gd name="T6" fmla="*/ 0 w 466725"/>
            <a:gd name="T7" fmla="*/ 866775 h 866775"/>
            <a:gd name="T8" fmla="*/ 0 w 466725"/>
            <a:gd name="T9" fmla="*/ 0 h 86677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6725"/>
            <a:gd name="T16" fmla="*/ 0 h 866775"/>
            <a:gd name="T17" fmla="*/ 466725 w 466725"/>
            <a:gd name="T18" fmla="*/ 866775 h 86677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6725" h="866775">
              <a:moveTo>
                <a:pt x="0" y="0"/>
              </a:moveTo>
              <a:lnTo>
                <a:pt x="466725" y="0"/>
              </a:lnTo>
              <a:lnTo>
                <a:pt x="466725" y="866775"/>
              </a:lnTo>
              <a:lnTo>
                <a:pt x="0" y="866775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0</xdr:colOff>
      <xdr:row>1</xdr:row>
      <xdr:rowOff>85725</xdr:rowOff>
    </xdr:from>
    <xdr:to>
      <xdr:col>58</xdr:col>
      <xdr:colOff>0</xdr:colOff>
      <xdr:row>3</xdr:row>
      <xdr:rowOff>0</xdr:rowOff>
    </xdr:to>
    <xdr:sp macro="" textlink="">
      <xdr:nvSpPr>
        <xdr:cNvPr id="23302" name="Rectangle 59">
          <a:extLst>
            <a:ext uri="{FF2B5EF4-FFF2-40B4-BE49-F238E27FC236}">
              <a16:creationId xmlns:a16="http://schemas.microsoft.com/office/drawing/2014/main" id="{00000000-0008-0000-0000-0000065B0000}"/>
            </a:ext>
          </a:extLst>
        </xdr:cNvPr>
        <xdr:cNvSpPr>
          <a:spLocks noChangeArrowheads="1"/>
        </xdr:cNvSpPr>
      </xdr:nvSpPr>
      <xdr:spPr bwMode="auto">
        <a:xfrm>
          <a:off x="8296275" y="247650"/>
          <a:ext cx="2752725" cy="2095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5</xdr:row>
      <xdr:rowOff>247650</xdr:rowOff>
    </xdr:from>
    <xdr:to>
      <xdr:col>57</xdr:col>
      <xdr:colOff>219075</xdr:colOff>
      <xdr:row>6</xdr:row>
      <xdr:rowOff>0</xdr:rowOff>
    </xdr:to>
    <xdr:sp macro="" textlink="">
      <xdr:nvSpPr>
        <xdr:cNvPr id="23303" name="Line 34">
          <a:extLst>
            <a:ext uri="{FF2B5EF4-FFF2-40B4-BE49-F238E27FC236}">
              <a16:creationId xmlns:a16="http://schemas.microsoft.com/office/drawing/2014/main" id="{00000000-0008-0000-0000-0000075B0000}"/>
            </a:ext>
          </a:extLst>
        </xdr:cNvPr>
        <xdr:cNvSpPr>
          <a:spLocks noChangeShapeType="1"/>
        </xdr:cNvSpPr>
      </xdr:nvSpPr>
      <xdr:spPr bwMode="auto">
        <a:xfrm flipH="1" flipV="1">
          <a:off x="1876425" y="1114425"/>
          <a:ext cx="9172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95250</xdr:colOff>
      <xdr:row>13</xdr:row>
      <xdr:rowOff>219075</xdr:rowOff>
    </xdr:from>
    <xdr:to>
      <xdr:col>46</xdr:col>
      <xdr:colOff>0</xdr:colOff>
      <xdr:row>14</xdr:row>
      <xdr:rowOff>152400</xdr:rowOff>
    </xdr:to>
    <xdr:sp macro="" textlink="" fLocksText="0">
      <xdr:nvSpPr>
        <xdr:cNvPr id="2034" name="micro_text11" hidden="1">
          <a:extLs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 txBox="1">
          <a:spLocks noChangeArrowheads="1"/>
        </xdr:cNvSpPr>
      </xdr:nvSpPr>
      <xdr:spPr bwMode="auto">
        <a:xfrm>
          <a:off x="8543925" y="2876550"/>
          <a:ext cx="666750" cy="1524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ｵｰﾊﾞｰﾋﾟﾝ</a:t>
          </a:r>
        </a:p>
      </xdr:txBody>
    </xdr:sp>
    <xdr:clientData/>
  </xdr:twoCellAnchor>
  <xdr:twoCellAnchor>
    <xdr:from>
      <xdr:col>41</xdr:col>
      <xdr:colOff>95250</xdr:colOff>
      <xdr:row>14</xdr:row>
      <xdr:rowOff>95250</xdr:rowOff>
    </xdr:from>
    <xdr:to>
      <xdr:col>46</xdr:col>
      <xdr:colOff>0</xdr:colOff>
      <xdr:row>15</xdr:row>
      <xdr:rowOff>19050</xdr:rowOff>
    </xdr:to>
    <xdr:sp macro="" textlink="" fLocksText="0">
      <xdr:nvSpPr>
        <xdr:cNvPr id="2036" name="micro_text12" hidden="1">
          <a:extLs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 txBox="1">
          <a:spLocks noChangeArrowheads="1"/>
        </xdr:cNvSpPr>
      </xdr:nvSpPr>
      <xdr:spPr bwMode="auto">
        <a:xfrm>
          <a:off x="8543925" y="2971800"/>
          <a:ext cx="666750" cy="1333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ﾏｲｸﾛ</a:t>
          </a:r>
        </a:p>
      </xdr:txBody>
    </xdr:sp>
    <xdr:clientData/>
  </xdr:twoCellAnchor>
  <xdr:twoCellAnchor>
    <xdr:from>
      <xdr:col>39</xdr:col>
      <xdr:colOff>123825</xdr:colOff>
      <xdr:row>1</xdr:row>
      <xdr:rowOff>104775</xdr:rowOff>
    </xdr:from>
    <xdr:to>
      <xdr:col>43</xdr:col>
      <xdr:colOff>9525</xdr:colOff>
      <xdr:row>3</xdr:row>
      <xdr:rowOff>0</xdr:rowOff>
    </xdr:to>
    <xdr:sp macro="" textlink="">
      <xdr:nvSpPr>
        <xdr:cNvPr id="1082" name="テキスト 58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 txBox="1">
          <a:spLocks noChangeArrowheads="1"/>
        </xdr:cNvSpPr>
      </xdr:nvSpPr>
      <xdr:spPr bwMode="auto">
        <a:xfrm>
          <a:off x="8267700" y="266700"/>
          <a:ext cx="495300" cy="1905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品 技</a:t>
          </a:r>
        </a:p>
      </xdr:txBody>
    </xdr:sp>
    <xdr:clientData/>
  </xdr:twoCellAnchor>
  <xdr:twoCellAnchor>
    <xdr:from>
      <xdr:col>42</xdr:col>
      <xdr:colOff>142875</xdr:colOff>
      <xdr:row>1</xdr:row>
      <xdr:rowOff>104775</xdr:rowOff>
    </xdr:from>
    <xdr:to>
      <xdr:col>46</xdr:col>
      <xdr:colOff>0</xdr:colOff>
      <xdr:row>3</xdr:row>
      <xdr:rowOff>0</xdr:rowOff>
    </xdr:to>
    <xdr:sp macro="" textlink="">
      <xdr:nvSpPr>
        <xdr:cNvPr id="1085" name="テキスト 6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 txBox="1">
          <a:spLocks noChangeArrowheads="1"/>
        </xdr:cNvSpPr>
      </xdr:nvSpPr>
      <xdr:spPr bwMode="auto">
        <a:xfrm>
          <a:off x="8743950" y="266700"/>
          <a:ext cx="466725" cy="1905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職 長</a:t>
          </a:r>
        </a:p>
      </xdr:txBody>
    </xdr:sp>
    <xdr:clientData/>
  </xdr:twoCellAnchor>
  <xdr:twoCellAnchor>
    <xdr:from>
      <xdr:col>45</xdr:col>
      <xdr:colOff>133350</xdr:colOff>
      <xdr:row>1</xdr:row>
      <xdr:rowOff>95250</xdr:rowOff>
    </xdr:from>
    <xdr:to>
      <xdr:col>49</xdr:col>
      <xdr:colOff>9525</xdr:colOff>
      <xdr:row>3</xdr:row>
      <xdr:rowOff>0</xdr:rowOff>
    </xdr:to>
    <xdr:sp macro="" textlink="">
      <xdr:nvSpPr>
        <xdr:cNvPr id="1086" name="テキスト 62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 txBox="1">
          <a:spLocks noChangeArrowheads="1"/>
        </xdr:cNvSpPr>
      </xdr:nvSpPr>
      <xdr:spPr bwMode="auto">
        <a:xfrm>
          <a:off x="9191625" y="257175"/>
          <a:ext cx="485775" cy="2000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Ｑ Ｃ</a:t>
          </a:r>
        </a:p>
      </xdr:txBody>
    </xdr:sp>
    <xdr:clientData/>
  </xdr:twoCellAnchor>
  <xdr:twoCellAnchor>
    <xdr:from>
      <xdr:col>48</xdr:col>
      <xdr:colOff>133350</xdr:colOff>
      <xdr:row>1</xdr:row>
      <xdr:rowOff>95250</xdr:rowOff>
    </xdr:from>
    <xdr:to>
      <xdr:col>52</xdr:col>
      <xdr:colOff>0</xdr:colOff>
      <xdr:row>3</xdr:row>
      <xdr:rowOff>0</xdr:rowOff>
    </xdr:to>
    <xdr:sp macro="" textlink="">
      <xdr:nvSpPr>
        <xdr:cNvPr id="1088" name="テキスト 64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 txBox="1">
          <a:spLocks noChangeArrowheads="1"/>
        </xdr:cNvSpPr>
      </xdr:nvSpPr>
      <xdr:spPr bwMode="auto">
        <a:xfrm>
          <a:off x="9648825" y="257175"/>
          <a:ext cx="476250" cy="2000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ＳＬ</a:t>
          </a:r>
        </a:p>
      </xdr:txBody>
    </xdr:sp>
    <xdr:clientData/>
  </xdr:twoCellAnchor>
  <xdr:twoCellAnchor>
    <xdr:from>
      <xdr:col>51</xdr:col>
      <xdr:colOff>142875</xdr:colOff>
      <xdr:row>1</xdr:row>
      <xdr:rowOff>104775</xdr:rowOff>
    </xdr:from>
    <xdr:to>
      <xdr:col>55</xdr:col>
      <xdr:colOff>0</xdr:colOff>
      <xdr:row>3</xdr:row>
      <xdr:rowOff>0</xdr:rowOff>
    </xdr:to>
    <xdr:sp macro="" textlink="">
      <xdr:nvSpPr>
        <xdr:cNvPr id="1089" name="テキスト 65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 txBox="1">
          <a:spLocks noChangeArrowheads="1"/>
        </xdr:cNvSpPr>
      </xdr:nvSpPr>
      <xdr:spPr bwMode="auto">
        <a:xfrm>
          <a:off x="10115550" y="266700"/>
          <a:ext cx="466725" cy="1905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検 印</a:t>
          </a:r>
        </a:p>
      </xdr:txBody>
    </xdr:sp>
    <xdr:clientData/>
  </xdr:twoCellAnchor>
  <xdr:twoCellAnchor>
    <xdr:from>
      <xdr:col>54</xdr:col>
      <xdr:colOff>123825</xdr:colOff>
      <xdr:row>1</xdr:row>
      <xdr:rowOff>104775</xdr:rowOff>
    </xdr:from>
    <xdr:to>
      <xdr:col>58</xdr:col>
      <xdr:colOff>0</xdr:colOff>
      <xdr:row>3</xdr:row>
      <xdr:rowOff>0</xdr:rowOff>
    </xdr:to>
    <xdr:sp macro="" textlink="">
      <xdr:nvSpPr>
        <xdr:cNvPr id="1090" name="テキスト 66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 txBox="1">
          <a:spLocks noChangeArrowheads="1"/>
        </xdr:cNvSpPr>
      </xdr:nvSpPr>
      <xdr:spPr bwMode="auto">
        <a:xfrm>
          <a:off x="10553700" y="266700"/>
          <a:ext cx="495300" cy="1905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作 成</a:t>
          </a:r>
        </a:p>
      </xdr:txBody>
    </xdr:sp>
    <xdr:clientData/>
  </xdr:twoCellAnchor>
  <xdr:twoCellAnchor>
    <xdr:from>
      <xdr:col>0</xdr:col>
      <xdr:colOff>47625</xdr:colOff>
      <xdr:row>5</xdr:row>
      <xdr:rowOff>123825</xdr:rowOff>
    </xdr:from>
    <xdr:to>
      <xdr:col>1</xdr:col>
      <xdr:colOff>85725</xdr:colOff>
      <xdr:row>6</xdr:row>
      <xdr:rowOff>342900</xdr:rowOff>
    </xdr:to>
    <xdr:sp macro="" textlink="">
      <xdr:nvSpPr>
        <xdr:cNvPr id="1061" name="テキスト 37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 txBox="1">
          <a:spLocks noChangeArrowheads="1"/>
        </xdr:cNvSpPr>
      </xdr:nvSpPr>
      <xdr:spPr bwMode="auto">
        <a:xfrm>
          <a:off x="47625" y="1028700"/>
          <a:ext cx="257175" cy="4286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型 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式</a:t>
          </a:r>
        </a:p>
      </xdr:txBody>
    </xdr:sp>
    <xdr:clientData/>
  </xdr:twoCellAnchor>
  <xdr:twoCellAnchor>
    <xdr:from>
      <xdr:col>2</xdr:col>
      <xdr:colOff>0</xdr:colOff>
      <xdr:row>4</xdr:row>
      <xdr:rowOff>209550</xdr:rowOff>
    </xdr:from>
    <xdr:to>
      <xdr:col>2</xdr:col>
      <xdr:colOff>0</xdr:colOff>
      <xdr:row>7</xdr:row>
      <xdr:rowOff>0</xdr:rowOff>
    </xdr:to>
    <xdr:sp macro="" textlink="">
      <xdr:nvSpPr>
        <xdr:cNvPr id="23313" name="Line 38">
          <a:extLst>
            <a:ext uri="{FF2B5EF4-FFF2-40B4-BE49-F238E27FC236}">
              <a16:creationId xmlns:a16="http://schemas.microsoft.com/office/drawing/2014/main" id="{00000000-0008-0000-0000-0000115B0000}"/>
            </a:ext>
          </a:extLst>
        </xdr:cNvPr>
        <xdr:cNvSpPr>
          <a:spLocks noChangeShapeType="1"/>
        </xdr:cNvSpPr>
      </xdr:nvSpPr>
      <xdr:spPr bwMode="auto">
        <a:xfrm flipV="1">
          <a:off x="314325" y="866775"/>
          <a:ext cx="0" cy="7334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66675</xdr:colOff>
      <xdr:row>5</xdr:row>
      <xdr:rowOff>200025</xdr:rowOff>
    </xdr:from>
    <xdr:to>
      <xdr:col>12</xdr:col>
      <xdr:colOff>0</xdr:colOff>
      <xdr:row>7</xdr:row>
      <xdr:rowOff>28575</xdr:rowOff>
    </xdr:to>
    <xdr:grpSp>
      <xdr:nvGrpSpPr>
        <xdr:cNvPr id="23314" name="Group 102">
          <a:extLst>
            <a:ext uri="{FF2B5EF4-FFF2-40B4-BE49-F238E27FC236}">
              <a16:creationId xmlns:a16="http://schemas.microsoft.com/office/drawing/2014/main" id="{00000000-0008-0000-0000-0000125B0000}"/>
            </a:ext>
          </a:extLst>
        </xdr:cNvPr>
        <xdr:cNvGrpSpPr>
          <a:grpSpLocks/>
        </xdr:cNvGrpSpPr>
      </xdr:nvGrpSpPr>
      <xdr:grpSpPr bwMode="auto">
        <a:xfrm>
          <a:off x="1943100" y="1104900"/>
          <a:ext cx="590550" cy="523875"/>
          <a:chOff x="-6912" y="-372"/>
          <a:chExt cx="26970" cy="18315"/>
        </a:xfrm>
      </xdr:grpSpPr>
      <xdr:sp macro="" textlink="">
        <xdr:nvSpPr>
          <xdr:cNvPr id="1063" name="テキスト 39">
            <a:extLst>
              <a:ext uri="{FF2B5EF4-FFF2-40B4-BE49-F238E27FC236}">
                <a16:creationId xmlns:a16="http://schemas.microsoft.com/office/drawing/2014/main" id="{00000000-0008-0000-0000-000027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912" y="-372"/>
            <a:ext cx="26535" cy="8991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品  名</a:t>
            </a:r>
          </a:p>
        </xdr:txBody>
      </xdr:sp>
      <xdr:sp macro="" textlink="">
        <xdr:nvSpPr>
          <xdr:cNvPr id="1064" name="テキスト 40">
            <a:extLst>
              <a:ext uri="{FF2B5EF4-FFF2-40B4-BE49-F238E27FC236}">
                <a16:creationId xmlns:a16="http://schemas.microsoft.com/office/drawing/2014/main" id="{00000000-0008-0000-0000-000028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912" y="6954"/>
            <a:ext cx="26970" cy="1098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品  番</a:t>
            </a:r>
          </a:p>
        </xdr:txBody>
      </xdr:sp>
    </xdr:grpSp>
    <xdr:clientData/>
  </xdr:twoCellAnchor>
  <xdr:twoCellAnchor>
    <xdr:from>
      <xdr:col>40</xdr:col>
      <xdr:colOff>0</xdr:colOff>
      <xdr:row>3</xdr:row>
      <xdr:rowOff>0</xdr:rowOff>
    </xdr:from>
    <xdr:to>
      <xdr:col>43</xdr:col>
      <xdr:colOff>0</xdr:colOff>
      <xdr:row>6</xdr:row>
      <xdr:rowOff>0</xdr:rowOff>
    </xdr:to>
    <xdr:sp macro="" textlink="">
      <xdr:nvSpPr>
        <xdr:cNvPr id="23315" name="Rectangle 49">
          <a:extLst>
            <a:ext uri="{FF2B5EF4-FFF2-40B4-BE49-F238E27FC236}">
              <a16:creationId xmlns:a16="http://schemas.microsoft.com/office/drawing/2014/main" id="{00000000-0008-0000-0000-0000135B0000}"/>
            </a:ext>
          </a:extLst>
        </xdr:cNvPr>
        <xdr:cNvSpPr>
          <a:spLocks noChangeArrowheads="1"/>
        </xdr:cNvSpPr>
      </xdr:nvSpPr>
      <xdr:spPr bwMode="auto">
        <a:xfrm>
          <a:off x="8296275" y="457200"/>
          <a:ext cx="457200" cy="657225"/>
        </a:xfrm>
        <a:custGeom>
          <a:avLst/>
          <a:gdLst>
            <a:gd name="T0" fmla="*/ 0 w 457200"/>
            <a:gd name="T1" fmla="*/ 0 h 657225"/>
            <a:gd name="T2" fmla="*/ 457200 w 457200"/>
            <a:gd name="T3" fmla="*/ 0 h 657225"/>
            <a:gd name="T4" fmla="*/ 457200 w 457200"/>
            <a:gd name="T5" fmla="*/ 657225 h 657225"/>
            <a:gd name="T6" fmla="*/ 0 w 457200"/>
            <a:gd name="T7" fmla="*/ 657225 h 657225"/>
            <a:gd name="T8" fmla="*/ 0 w 457200"/>
            <a:gd name="T9" fmla="*/ 0 h 6572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57200"/>
            <a:gd name="T16" fmla="*/ 0 h 657225"/>
            <a:gd name="T17" fmla="*/ 457200 w 457200"/>
            <a:gd name="T18" fmla="*/ 657225 h 65722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57200" h="657225">
              <a:moveTo>
                <a:pt x="0" y="0"/>
              </a:moveTo>
              <a:lnTo>
                <a:pt x="457200" y="0"/>
              </a:lnTo>
              <a:lnTo>
                <a:pt x="457200" y="657225"/>
              </a:lnTo>
              <a:lnTo>
                <a:pt x="0" y="657225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0</xdr:colOff>
      <xdr:row>2</xdr:row>
      <xdr:rowOff>161925</xdr:rowOff>
    </xdr:from>
    <xdr:to>
      <xdr:col>49</xdr:col>
      <xdr:colOff>0</xdr:colOff>
      <xdr:row>6</xdr:row>
      <xdr:rowOff>0</xdr:rowOff>
    </xdr:to>
    <xdr:sp macro="" textlink="">
      <xdr:nvSpPr>
        <xdr:cNvPr id="23316" name="Rectangle 51">
          <a:extLst>
            <a:ext uri="{FF2B5EF4-FFF2-40B4-BE49-F238E27FC236}">
              <a16:creationId xmlns:a16="http://schemas.microsoft.com/office/drawing/2014/main" id="{00000000-0008-0000-0000-0000145B0000}"/>
            </a:ext>
          </a:extLst>
        </xdr:cNvPr>
        <xdr:cNvSpPr>
          <a:spLocks noChangeArrowheads="1"/>
        </xdr:cNvSpPr>
      </xdr:nvSpPr>
      <xdr:spPr bwMode="auto">
        <a:xfrm>
          <a:off x="9210675" y="457200"/>
          <a:ext cx="457200" cy="657225"/>
        </a:xfrm>
        <a:custGeom>
          <a:avLst/>
          <a:gdLst>
            <a:gd name="T0" fmla="*/ 0 w 457200"/>
            <a:gd name="T1" fmla="*/ 0 h 657225"/>
            <a:gd name="T2" fmla="*/ 457200 w 457200"/>
            <a:gd name="T3" fmla="*/ 0 h 657225"/>
            <a:gd name="T4" fmla="*/ 457200 w 457200"/>
            <a:gd name="T5" fmla="*/ 657225 h 657225"/>
            <a:gd name="T6" fmla="*/ 0 w 457200"/>
            <a:gd name="T7" fmla="*/ 657225 h 657225"/>
            <a:gd name="T8" fmla="*/ 0 w 457200"/>
            <a:gd name="T9" fmla="*/ 0 h 6572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57200"/>
            <a:gd name="T16" fmla="*/ 0 h 657225"/>
            <a:gd name="T17" fmla="*/ 457200 w 457200"/>
            <a:gd name="T18" fmla="*/ 657225 h 65722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57200" h="657225">
              <a:moveTo>
                <a:pt x="0" y="0"/>
              </a:moveTo>
              <a:lnTo>
                <a:pt x="457200" y="0"/>
              </a:lnTo>
              <a:lnTo>
                <a:pt x="457200" y="657225"/>
              </a:lnTo>
              <a:lnTo>
                <a:pt x="0" y="657225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52</xdr:col>
      <xdr:colOff>0</xdr:colOff>
      <xdr:row>2</xdr:row>
      <xdr:rowOff>161925</xdr:rowOff>
    </xdr:from>
    <xdr:to>
      <xdr:col>55</xdr:col>
      <xdr:colOff>0</xdr:colOff>
      <xdr:row>6</xdr:row>
      <xdr:rowOff>0</xdr:rowOff>
    </xdr:to>
    <xdr:sp macro="" textlink="">
      <xdr:nvSpPr>
        <xdr:cNvPr id="23317" name="Rectangle 53">
          <a:extLst>
            <a:ext uri="{FF2B5EF4-FFF2-40B4-BE49-F238E27FC236}">
              <a16:creationId xmlns:a16="http://schemas.microsoft.com/office/drawing/2014/main" id="{00000000-0008-0000-0000-0000155B0000}"/>
            </a:ext>
          </a:extLst>
        </xdr:cNvPr>
        <xdr:cNvSpPr>
          <a:spLocks noChangeArrowheads="1"/>
        </xdr:cNvSpPr>
      </xdr:nvSpPr>
      <xdr:spPr bwMode="auto">
        <a:xfrm>
          <a:off x="10125075" y="457200"/>
          <a:ext cx="457200" cy="657225"/>
        </a:xfrm>
        <a:custGeom>
          <a:avLst/>
          <a:gdLst>
            <a:gd name="T0" fmla="*/ 0 w 457200"/>
            <a:gd name="T1" fmla="*/ 0 h 657225"/>
            <a:gd name="T2" fmla="*/ 457200 w 457200"/>
            <a:gd name="T3" fmla="*/ 0 h 657225"/>
            <a:gd name="T4" fmla="*/ 457200 w 457200"/>
            <a:gd name="T5" fmla="*/ 657225 h 657225"/>
            <a:gd name="T6" fmla="*/ 0 w 457200"/>
            <a:gd name="T7" fmla="*/ 657225 h 657225"/>
            <a:gd name="T8" fmla="*/ 0 w 457200"/>
            <a:gd name="T9" fmla="*/ 0 h 6572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57200"/>
            <a:gd name="T16" fmla="*/ 0 h 657225"/>
            <a:gd name="T17" fmla="*/ 457200 w 457200"/>
            <a:gd name="T18" fmla="*/ 657225 h 65722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57200" h="657225">
              <a:moveTo>
                <a:pt x="0" y="0"/>
              </a:moveTo>
              <a:lnTo>
                <a:pt x="457200" y="0"/>
              </a:lnTo>
              <a:lnTo>
                <a:pt x="457200" y="657225"/>
              </a:lnTo>
              <a:lnTo>
                <a:pt x="0" y="657225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6</xdr:row>
      <xdr:rowOff>238125</xdr:rowOff>
    </xdr:from>
    <xdr:to>
      <xdr:col>19</xdr:col>
      <xdr:colOff>0</xdr:colOff>
      <xdr:row>6</xdr:row>
      <xdr:rowOff>238125</xdr:rowOff>
    </xdr:to>
    <xdr:sp macro="" textlink="">
      <xdr:nvSpPr>
        <xdr:cNvPr id="23318" name="Line 78">
          <a:extLst>
            <a:ext uri="{FF2B5EF4-FFF2-40B4-BE49-F238E27FC236}">
              <a16:creationId xmlns:a16="http://schemas.microsoft.com/office/drawing/2014/main" id="{00000000-0008-0000-0000-0000165B0000}"/>
            </a:ext>
          </a:extLst>
        </xdr:cNvPr>
        <xdr:cNvSpPr>
          <a:spLocks noChangeShapeType="1"/>
        </xdr:cNvSpPr>
      </xdr:nvSpPr>
      <xdr:spPr bwMode="auto">
        <a:xfrm>
          <a:off x="1876425" y="1352550"/>
          <a:ext cx="2152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5</xdr:row>
      <xdr:rowOff>238125</xdr:rowOff>
    </xdr:from>
    <xdr:to>
      <xdr:col>23</xdr:col>
      <xdr:colOff>0</xdr:colOff>
      <xdr:row>7</xdr:row>
      <xdr:rowOff>0</xdr:rowOff>
    </xdr:to>
    <xdr:sp macro="" textlink="">
      <xdr:nvSpPr>
        <xdr:cNvPr id="23319" name="Line 89">
          <a:extLst>
            <a:ext uri="{FF2B5EF4-FFF2-40B4-BE49-F238E27FC236}">
              <a16:creationId xmlns:a16="http://schemas.microsoft.com/office/drawing/2014/main" id="{00000000-0008-0000-0000-0000175B0000}"/>
            </a:ext>
          </a:extLst>
        </xdr:cNvPr>
        <xdr:cNvSpPr>
          <a:spLocks noChangeShapeType="1"/>
        </xdr:cNvSpPr>
      </xdr:nvSpPr>
      <xdr:spPr bwMode="auto">
        <a:xfrm flipH="1" flipV="1">
          <a:off x="4943475" y="11144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6</xdr:row>
      <xdr:rowOff>0</xdr:rowOff>
    </xdr:from>
    <xdr:to>
      <xdr:col>30</xdr:col>
      <xdr:colOff>0</xdr:colOff>
      <xdr:row>7</xdr:row>
      <xdr:rowOff>0</xdr:rowOff>
    </xdr:to>
    <xdr:sp macro="" textlink="">
      <xdr:nvSpPr>
        <xdr:cNvPr id="23320" name="Line 90">
          <a:extLst>
            <a:ext uri="{FF2B5EF4-FFF2-40B4-BE49-F238E27FC236}">
              <a16:creationId xmlns:a16="http://schemas.microsoft.com/office/drawing/2014/main" id="{00000000-0008-0000-0000-0000185B0000}"/>
            </a:ext>
          </a:extLst>
        </xdr:cNvPr>
        <xdr:cNvSpPr>
          <a:spLocks noChangeShapeType="1"/>
        </xdr:cNvSpPr>
      </xdr:nvSpPr>
      <xdr:spPr bwMode="auto">
        <a:xfrm flipH="1" flipV="1">
          <a:off x="6477000" y="11144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" textlink="">
      <xdr:nvSpPr>
        <xdr:cNvPr id="23321" name="Line 94">
          <a:extLst>
            <a:ext uri="{FF2B5EF4-FFF2-40B4-BE49-F238E27FC236}">
              <a16:creationId xmlns:a16="http://schemas.microsoft.com/office/drawing/2014/main" id="{00000000-0008-0000-0000-0000195B0000}"/>
            </a:ext>
          </a:extLst>
        </xdr:cNvPr>
        <xdr:cNvSpPr>
          <a:spLocks noChangeShapeType="1"/>
        </xdr:cNvSpPr>
      </xdr:nvSpPr>
      <xdr:spPr bwMode="auto">
        <a:xfrm flipH="1" flipV="1">
          <a:off x="7381875" y="11144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6</xdr:row>
      <xdr:rowOff>0</xdr:rowOff>
    </xdr:from>
    <xdr:to>
      <xdr:col>40</xdr:col>
      <xdr:colOff>0</xdr:colOff>
      <xdr:row>7</xdr:row>
      <xdr:rowOff>0</xdr:rowOff>
    </xdr:to>
    <xdr:sp macro="" textlink="">
      <xdr:nvSpPr>
        <xdr:cNvPr id="23322" name="Line 95">
          <a:extLst>
            <a:ext uri="{FF2B5EF4-FFF2-40B4-BE49-F238E27FC236}">
              <a16:creationId xmlns:a16="http://schemas.microsoft.com/office/drawing/2014/main" id="{00000000-0008-0000-0000-00001A5B0000}"/>
            </a:ext>
          </a:extLst>
        </xdr:cNvPr>
        <xdr:cNvSpPr>
          <a:spLocks noChangeShapeType="1"/>
        </xdr:cNvSpPr>
      </xdr:nvSpPr>
      <xdr:spPr bwMode="auto">
        <a:xfrm flipH="1" flipV="1">
          <a:off x="8296275" y="11144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66675</xdr:colOff>
      <xdr:row>6</xdr:row>
      <xdr:rowOff>57150</xdr:rowOff>
    </xdr:from>
    <xdr:to>
      <xdr:col>42</xdr:col>
      <xdr:colOff>142875</xdr:colOff>
      <xdr:row>6</xdr:row>
      <xdr:rowOff>428625</xdr:rowOff>
    </xdr:to>
    <xdr:sp macro="" textlink="">
      <xdr:nvSpPr>
        <xdr:cNvPr id="1121" name="テキスト 97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 txBox="1">
          <a:spLocks noChangeArrowheads="1"/>
        </xdr:cNvSpPr>
      </xdr:nvSpPr>
      <xdr:spPr bwMode="auto">
        <a:xfrm>
          <a:off x="8362950" y="1171575"/>
          <a:ext cx="381000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機械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番号</a:t>
          </a:r>
        </a:p>
      </xdr:txBody>
    </xdr:sp>
    <xdr:clientData/>
  </xdr:twoCellAnchor>
  <xdr:twoCellAnchor>
    <xdr:from>
      <xdr:col>43</xdr:col>
      <xdr:colOff>0</xdr:colOff>
      <xdr:row>6</xdr:row>
      <xdr:rowOff>0</xdr:rowOff>
    </xdr:from>
    <xdr:to>
      <xdr:col>43</xdr:col>
      <xdr:colOff>0</xdr:colOff>
      <xdr:row>7</xdr:row>
      <xdr:rowOff>0</xdr:rowOff>
    </xdr:to>
    <xdr:sp macro="" textlink="">
      <xdr:nvSpPr>
        <xdr:cNvPr id="23324" name="Line 98">
          <a:extLst>
            <a:ext uri="{FF2B5EF4-FFF2-40B4-BE49-F238E27FC236}">
              <a16:creationId xmlns:a16="http://schemas.microsoft.com/office/drawing/2014/main" id="{00000000-0008-0000-0000-00001C5B0000}"/>
            </a:ext>
          </a:extLst>
        </xdr:cNvPr>
        <xdr:cNvSpPr>
          <a:spLocks noChangeShapeType="1"/>
        </xdr:cNvSpPr>
      </xdr:nvSpPr>
      <xdr:spPr bwMode="auto">
        <a:xfrm flipH="1" flipV="1">
          <a:off x="8753475" y="11144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6</xdr:row>
      <xdr:rowOff>0</xdr:rowOff>
    </xdr:from>
    <xdr:to>
      <xdr:col>48</xdr:col>
      <xdr:colOff>0</xdr:colOff>
      <xdr:row>7</xdr:row>
      <xdr:rowOff>0</xdr:rowOff>
    </xdr:to>
    <xdr:sp macro="" textlink="">
      <xdr:nvSpPr>
        <xdr:cNvPr id="23325" name="Line 99">
          <a:extLst>
            <a:ext uri="{FF2B5EF4-FFF2-40B4-BE49-F238E27FC236}">
              <a16:creationId xmlns:a16="http://schemas.microsoft.com/office/drawing/2014/main" id="{00000000-0008-0000-0000-00001D5B0000}"/>
            </a:ext>
          </a:extLst>
        </xdr:cNvPr>
        <xdr:cNvSpPr>
          <a:spLocks noChangeShapeType="1"/>
        </xdr:cNvSpPr>
      </xdr:nvSpPr>
      <xdr:spPr bwMode="auto">
        <a:xfrm flipH="1" flipV="1">
          <a:off x="9515475" y="11144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6</xdr:row>
      <xdr:rowOff>0</xdr:rowOff>
    </xdr:from>
    <xdr:to>
      <xdr:col>53</xdr:col>
      <xdr:colOff>0</xdr:colOff>
      <xdr:row>7</xdr:row>
      <xdr:rowOff>0</xdr:rowOff>
    </xdr:to>
    <xdr:sp macro="" textlink="">
      <xdr:nvSpPr>
        <xdr:cNvPr id="23326" name="Line 101">
          <a:extLst>
            <a:ext uri="{FF2B5EF4-FFF2-40B4-BE49-F238E27FC236}">
              <a16:creationId xmlns:a16="http://schemas.microsoft.com/office/drawing/2014/main" id="{00000000-0008-0000-0000-00001E5B0000}"/>
            </a:ext>
          </a:extLst>
        </xdr:cNvPr>
        <xdr:cNvSpPr>
          <a:spLocks noChangeShapeType="1"/>
        </xdr:cNvSpPr>
      </xdr:nvSpPr>
      <xdr:spPr bwMode="auto">
        <a:xfrm flipH="1" flipV="1">
          <a:off x="10277475" y="11144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47625</xdr:colOff>
      <xdr:row>7</xdr:row>
      <xdr:rowOff>0</xdr:rowOff>
    </xdr:from>
    <xdr:to>
      <xdr:col>35</xdr:col>
      <xdr:colOff>47625</xdr:colOff>
      <xdr:row>38</xdr:row>
      <xdr:rowOff>0</xdr:rowOff>
    </xdr:to>
    <xdr:sp macro="" textlink="">
      <xdr:nvSpPr>
        <xdr:cNvPr id="23327" name="Line 126">
          <a:extLst>
            <a:ext uri="{FF2B5EF4-FFF2-40B4-BE49-F238E27FC236}">
              <a16:creationId xmlns:a16="http://schemas.microsoft.com/office/drawing/2014/main" id="{00000000-0008-0000-0000-00001F5B0000}"/>
            </a:ext>
          </a:extLst>
        </xdr:cNvPr>
        <xdr:cNvSpPr>
          <a:spLocks noChangeShapeType="1"/>
        </xdr:cNvSpPr>
      </xdr:nvSpPr>
      <xdr:spPr bwMode="auto">
        <a:xfrm>
          <a:off x="7581900" y="1600200"/>
          <a:ext cx="0" cy="6572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9</xdr:row>
      <xdr:rowOff>9525</xdr:rowOff>
    </xdr:from>
    <xdr:to>
      <xdr:col>37</xdr:col>
      <xdr:colOff>0</xdr:colOff>
      <xdr:row>37</xdr:row>
      <xdr:rowOff>0</xdr:rowOff>
    </xdr:to>
    <xdr:sp macro="" textlink="">
      <xdr:nvSpPr>
        <xdr:cNvPr id="23328" name="Line 139">
          <a:extLst>
            <a:ext uri="{FF2B5EF4-FFF2-40B4-BE49-F238E27FC236}">
              <a16:creationId xmlns:a16="http://schemas.microsoft.com/office/drawing/2014/main" id="{00000000-0008-0000-0000-0000205B0000}"/>
            </a:ext>
          </a:extLst>
        </xdr:cNvPr>
        <xdr:cNvSpPr>
          <a:spLocks noChangeShapeType="1"/>
        </xdr:cNvSpPr>
      </xdr:nvSpPr>
      <xdr:spPr bwMode="auto">
        <a:xfrm>
          <a:off x="7839075" y="1981200"/>
          <a:ext cx="0" cy="59626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38100</xdr:colOff>
      <xdr:row>9</xdr:row>
      <xdr:rowOff>0</xdr:rowOff>
    </xdr:from>
    <xdr:to>
      <xdr:col>41</xdr:col>
      <xdr:colOff>38100</xdr:colOff>
      <xdr:row>24</xdr:row>
      <xdr:rowOff>0</xdr:rowOff>
    </xdr:to>
    <xdr:sp macro="" textlink="">
      <xdr:nvSpPr>
        <xdr:cNvPr id="23329" name="Line 140">
          <a:extLst>
            <a:ext uri="{FF2B5EF4-FFF2-40B4-BE49-F238E27FC236}">
              <a16:creationId xmlns:a16="http://schemas.microsoft.com/office/drawing/2014/main" id="{00000000-0008-0000-0000-0000215B0000}"/>
            </a:ext>
          </a:extLst>
        </xdr:cNvPr>
        <xdr:cNvSpPr>
          <a:spLocks noChangeShapeType="1"/>
        </xdr:cNvSpPr>
      </xdr:nvSpPr>
      <xdr:spPr bwMode="auto">
        <a:xfrm>
          <a:off x="8486775" y="1971675"/>
          <a:ext cx="0" cy="30003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9</xdr:row>
      <xdr:rowOff>0</xdr:rowOff>
    </xdr:from>
    <xdr:to>
      <xdr:col>46</xdr:col>
      <xdr:colOff>0</xdr:colOff>
      <xdr:row>24</xdr:row>
      <xdr:rowOff>9525</xdr:rowOff>
    </xdr:to>
    <xdr:sp macro="" textlink="">
      <xdr:nvSpPr>
        <xdr:cNvPr id="23330" name="Line 141">
          <a:extLst>
            <a:ext uri="{FF2B5EF4-FFF2-40B4-BE49-F238E27FC236}">
              <a16:creationId xmlns:a16="http://schemas.microsoft.com/office/drawing/2014/main" id="{00000000-0008-0000-0000-0000225B0000}"/>
            </a:ext>
          </a:extLst>
        </xdr:cNvPr>
        <xdr:cNvSpPr>
          <a:spLocks noChangeShapeType="1"/>
        </xdr:cNvSpPr>
      </xdr:nvSpPr>
      <xdr:spPr bwMode="auto">
        <a:xfrm>
          <a:off x="9210675" y="1971675"/>
          <a:ext cx="0" cy="30099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9</xdr:row>
      <xdr:rowOff>0</xdr:rowOff>
    </xdr:from>
    <xdr:to>
      <xdr:col>48</xdr:col>
      <xdr:colOff>0</xdr:colOff>
      <xdr:row>23</xdr:row>
      <xdr:rowOff>190500</xdr:rowOff>
    </xdr:to>
    <xdr:sp macro="" textlink="">
      <xdr:nvSpPr>
        <xdr:cNvPr id="23331" name="Line 142">
          <a:extLst>
            <a:ext uri="{FF2B5EF4-FFF2-40B4-BE49-F238E27FC236}">
              <a16:creationId xmlns:a16="http://schemas.microsoft.com/office/drawing/2014/main" id="{00000000-0008-0000-0000-0000235B0000}"/>
            </a:ext>
          </a:extLst>
        </xdr:cNvPr>
        <xdr:cNvSpPr>
          <a:spLocks noChangeShapeType="1"/>
        </xdr:cNvSpPr>
      </xdr:nvSpPr>
      <xdr:spPr bwMode="auto">
        <a:xfrm>
          <a:off x="9515475" y="1971675"/>
          <a:ext cx="0" cy="29813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9</xdr:row>
      <xdr:rowOff>0</xdr:rowOff>
    </xdr:from>
    <xdr:to>
      <xdr:col>53</xdr:col>
      <xdr:colOff>0</xdr:colOff>
      <xdr:row>24</xdr:row>
      <xdr:rowOff>0</xdr:rowOff>
    </xdr:to>
    <xdr:sp macro="" textlink="">
      <xdr:nvSpPr>
        <xdr:cNvPr id="23332" name="Line 143">
          <a:extLst>
            <a:ext uri="{FF2B5EF4-FFF2-40B4-BE49-F238E27FC236}">
              <a16:creationId xmlns:a16="http://schemas.microsoft.com/office/drawing/2014/main" id="{00000000-0008-0000-0000-0000245B0000}"/>
            </a:ext>
          </a:extLst>
        </xdr:cNvPr>
        <xdr:cNvSpPr>
          <a:spLocks noChangeShapeType="1"/>
        </xdr:cNvSpPr>
      </xdr:nvSpPr>
      <xdr:spPr bwMode="auto">
        <a:xfrm>
          <a:off x="10277475" y="1971675"/>
          <a:ext cx="0" cy="30003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0</xdr:colOff>
      <xdr:row>9</xdr:row>
      <xdr:rowOff>0</xdr:rowOff>
    </xdr:from>
    <xdr:to>
      <xdr:col>55</xdr:col>
      <xdr:colOff>0</xdr:colOff>
      <xdr:row>24</xdr:row>
      <xdr:rowOff>0</xdr:rowOff>
    </xdr:to>
    <xdr:sp macro="" textlink="">
      <xdr:nvSpPr>
        <xdr:cNvPr id="23333" name="Line 144">
          <a:extLst>
            <a:ext uri="{FF2B5EF4-FFF2-40B4-BE49-F238E27FC236}">
              <a16:creationId xmlns:a16="http://schemas.microsoft.com/office/drawing/2014/main" id="{00000000-0008-0000-0000-0000255B0000}"/>
            </a:ext>
          </a:extLst>
        </xdr:cNvPr>
        <xdr:cNvSpPr>
          <a:spLocks noChangeShapeType="1"/>
        </xdr:cNvSpPr>
      </xdr:nvSpPr>
      <xdr:spPr bwMode="auto">
        <a:xfrm>
          <a:off x="10582275" y="1971675"/>
          <a:ext cx="0" cy="30003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0</xdr:row>
      <xdr:rowOff>28575</xdr:rowOff>
    </xdr:from>
    <xdr:to>
      <xdr:col>43</xdr:col>
      <xdr:colOff>0</xdr:colOff>
      <xdr:row>1</xdr:row>
      <xdr:rowOff>85725</xdr:rowOff>
    </xdr:to>
    <xdr:sp macro="" textlink="">
      <xdr:nvSpPr>
        <xdr:cNvPr id="23334" name="Rectangle 453">
          <a:extLst>
            <a:ext uri="{FF2B5EF4-FFF2-40B4-BE49-F238E27FC236}">
              <a16:creationId xmlns:a16="http://schemas.microsoft.com/office/drawing/2014/main" id="{00000000-0008-0000-0000-0000265B0000}"/>
            </a:ext>
          </a:extLst>
        </xdr:cNvPr>
        <xdr:cNvSpPr>
          <a:spLocks noChangeArrowheads="1"/>
        </xdr:cNvSpPr>
      </xdr:nvSpPr>
      <xdr:spPr bwMode="auto">
        <a:xfrm>
          <a:off x="8296275" y="28575"/>
          <a:ext cx="457200" cy="2190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39</xdr:col>
      <xdr:colOff>142875</xdr:colOff>
      <xdr:row>0</xdr:row>
      <xdr:rowOff>38100</xdr:rowOff>
    </xdr:from>
    <xdr:to>
      <xdr:col>43</xdr:col>
      <xdr:colOff>0</xdr:colOff>
      <xdr:row>1</xdr:row>
      <xdr:rowOff>76200</xdr:rowOff>
    </xdr:to>
    <xdr:sp macro="" textlink="">
      <xdr:nvSpPr>
        <xdr:cNvPr id="1478" name="テキスト 454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 txBox="1">
          <a:spLocks noChangeArrowheads="1"/>
        </xdr:cNvSpPr>
      </xdr:nvSpPr>
      <xdr:spPr bwMode="auto">
        <a:xfrm>
          <a:off x="8286750" y="38100"/>
          <a:ext cx="466725" cy="2000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承 認</a:t>
          </a:r>
        </a:p>
      </xdr:txBody>
    </xdr:sp>
    <xdr:clientData/>
  </xdr:twoCellAnchor>
  <xdr:twoCellAnchor>
    <xdr:from>
      <xdr:col>30</xdr:col>
      <xdr:colOff>114300</xdr:colOff>
      <xdr:row>4</xdr:row>
      <xdr:rowOff>200025</xdr:rowOff>
    </xdr:from>
    <xdr:to>
      <xdr:col>34</xdr:col>
      <xdr:colOff>0</xdr:colOff>
      <xdr:row>6</xdr:row>
      <xdr:rowOff>38100</xdr:rowOff>
    </xdr:to>
    <xdr:sp macro="" textlink="">
      <xdr:nvSpPr>
        <xdr:cNvPr id="1479" name="テキスト 455" hidden="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 txBox="1">
          <a:spLocks noChangeArrowheads="1"/>
        </xdr:cNvSpPr>
      </xdr:nvSpPr>
      <xdr:spPr bwMode="auto">
        <a:xfrm>
          <a:off x="6591300" y="857250"/>
          <a:ext cx="790575" cy="2952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sng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浜北工場</a:t>
          </a:r>
        </a:p>
      </xdr:txBody>
    </xdr:sp>
    <xdr:clientData/>
  </xdr:twoCellAnchor>
  <xdr:twoCellAnchor>
    <xdr:from>
      <xdr:col>1</xdr:col>
      <xdr:colOff>85725</xdr:colOff>
      <xdr:row>40</xdr:row>
      <xdr:rowOff>0</xdr:rowOff>
    </xdr:from>
    <xdr:to>
      <xdr:col>1</xdr:col>
      <xdr:colOff>85725</xdr:colOff>
      <xdr:row>68</xdr:row>
      <xdr:rowOff>0</xdr:rowOff>
    </xdr:to>
    <xdr:sp macro="" textlink="">
      <xdr:nvSpPr>
        <xdr:cNvPr id="23337" name="Line 457">
          <a:extLst>
            <a:ext uri="{FF2B5EF4-FFF2-40B4-BE49-F238E27FC236}">
              <a16:creationId xmlns:a16="http://schemas.microsoft.com/office/drawing/2014/main" id="{00000000-0008-0000-0000-0000295B0000}"/>
            </a:ext>
          </a:extLst>
        </xdr:cNvPr>
        <xdr:cNvSpPr>
          <a:spLocks noChangeShapeType="1"/>
        </xdr:cNvSpPr>
      </xdr:nvSpPr>
      <xdr:spPr bwMode="auto">
        <a:xfrm flipV="1">
          <a:off x="304800" y="8686800"/>
          <a:ext cx="0" cy="7410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0</xdr:colOff>
      <xdr:row>6</xdr:row>
      <xdr:rowOff>0</xdr:rowOff>
    </xdr:from>
    <xdr:to>
      <xdr:col>58</xdr:col>
      <xdr:colOff>0</xdr:colOff>
      <xdr:row>7</xdr:row>
      <xdr:rowOff>0</xdr:rowOff>
    </xdr:to>
    <xdr:sp macro="" textlink="">
      <xdr:nvSpPr>
        <xdr:cNvPr id="23338" name="Line 580">
          <a:extLst>
            <a:ext uri="{FF2B5EF4-FFF2-40B4-BE49-F238E27FC236}">
              <a16:creationId xmlns:a16="http://schemas.microsoft.com/office/drawing/2014/main" id="{00000000-0008-0000-0000-00002A5B0000}"/>
            </a:ext>
          </a:extLst>
        </xdr:cNvPr>
        <xdr:cNvSpPr>
          <a:spLocks noChangeShapeType="1"/>
        </xdr:cNvSpPr>
      </xdr:nvSpPr>
      <xdr:spPr bwMode="auto">
        <a:xfrm flipH="1" flipV="1">
          <a:off x="11049000" y="11144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</xdr:row>
      <xdr:rowOff>0</xdr:rowOff>
    </xdr:from>
    <xdr:to>
      <xdr:col>3</xdr:col>
      <xdr:colOff>0</xdr:colOff>
      <xdr:row>4</xdr:row>
      <xdr:rowOff>161925</xdr:rowOff>
    </xdr:to>
    <xdr:sp macro="" textlink="">
      <xdr:nvSpPr>
        <xdr:cNvPr id="1688" name="テキスト 664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 txBox="1">
          <a:spLocks noChangeArrowheads="1"/>
        </xdr:cNvSpPr>
      </xdr:nvSpPr>
      <xdr:spPr bwMode="auto">
        <a:xfrm>
          <a:off x="0" y="657225"/>
          <a:ext cx="590550" cy="1619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工程Ｎｏ．</a:t>
          </a:r>
        </a:p>
      </xdr:txBody>
    </xdr:sp>
    <xdr:clientData/>
  </xdr:twoCellAnchor>
  <xdr:twoCellAnchor>
    <xdr:from>
      <xdr:col>0</xdr:col>
      <xdr:colOff>85725</xdr:colOff>
      <xdr:row>4</xdr:row>
      <xdr:rowOff>180975</xdr:rowOff>
    </xdr:from>
    <xdr:to>
      <xdr:col>8</xdr:col>
      <xdr:colOff>19050</xdr:colOff>
      <xdr:row>4</xdr:row>
      <xdr:rowOff>180975</xdr:rowOff>
    </xdr:to>
    <xdr:sp macro="" textlink="">
      <xdr:nvSpPr>
        <xdr:cNvPr id="23340" name="Line 665">
          <a:extLst>
            <a:ext uri="{FF2B5EF4-FFF2-40B4-BE49-F238E27FC236}">
              <a16:creationId xmlns:a16="http://schemas.microsoft.com/office/drawing/2014/main" id="{00000000-0008-0000-0000-00002C5B0000}"/>
            </a:ext>
          </a:extLst>
        </xdr:cNvPr>
        <xdr:cNvSpPr>
          <a:spLocks noChangeShapeType="1"/>
        </xdr:cNvSpPr>
      </xdr:nvSpPr>
      <xdr:spPr bwMode="auto">
        <a:xfrm flipH="1">
          <a:off x="85725" y="838200"/>
          <a:ext cx="15906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142875</xdr:colOff>
      <xdr:row>9</xdr:row>
      <xdr:rowOff>0</xdr:rowOff>
    </xdr:from>
    <xdr:to>
      <xdr:col>56</xdr:col>
      <xdr:colOff>142875</xdr:colOff>
      <xdr:row>23</xdr:row>
      <xdr:rowOff>200025</xdr:rowOff>
    </xdr:to>
    <xdr:sp macro="" textlink="">
      <xdr:nvSpPr>
        <xdr:cNvPr id="23341" name="Line 146">
          <a:extLst>
            <a:ext uri="{FF2B5EF4-FFF2-40B4-BE49-F238E27FC236}">
              <a16:creationId xmlns:a16="http://schemas.microsoft.com/office/drawing/2014/main" id="{00000000-0008-0000-0000-00002D5B0000}"/>
            </a:ext>
          </a:extLst>
        </xdr:cNvPr>
        <xdr:cNvSpPr>
          <a:spLocks noChangeShapeType="1"/>
        </xdr:cNvSpPr>
      </xdr:nvSpPr>
      <xdr:spPr bwMode="auto">
        <a:xfrm>
          <a:off x="10877550" y="1971675"/>
          <a:ext cx="0" cy="29908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6</xdr:row>
      <xdr:rowOff>0</xdr:rowOff>
    </xdr:from>
    <xdr:to>
      <xdr:col>19</xdr:col>
      <xdr:colOff>0</xdr:colOff>
      <xdr:row>7</xdr:row>
      <xdr:rowOff>0</xdr:rowOff>
    </xdr:to>
    <xdr:sp macro="" textlink="">
      <xdr:nvSpPr>
        <xdr:cNvPr id="23342" name="Rectangle 753">
          <a:extLst>
            <a:ext uri="{FF2B5EF4-FFF2-40B4-BE49-F238E27FC236}">
              <a16:creationId xmlns:a16="http://schemas.microsoft.com/office/drawing/2014/main" id="{00000000-0008-0000-0000-00002E5B0000}"/>
            </a:ext>
          </a:extLst>
        </xdr:cNvPr>
        <xdr:cNvSpPr>
          <a:spLocks noChangeArrowheads="1"/>
        </xdr:cNvSpPr>
      </xdr:nvSpPr>
      <xdr:spPr bwMode="auto">
        <a:xfrm>
          <a:off x="2533650" y="1114425"/>
          <a:ext cx="1495425" cy="485775"/>
        </a:xfrm>
        <a:custGeom>
          <a:avLst/>
          <a:gdLst>
            <a:gd name="T0" fmla="*/ 0 w 1495425"/>
            <a:gd name="T1" fmla="*/ 0 h 485775"/>
            <a:gd name="T2" fmla="*/ 1495425 w 1495425"/>
            <a:gd name="T3" fmla="*/ 0 h 485775"/>
            <a:gd name="T4" fmla="*/ 1495425 w 1495425"/>
            <a:gd name="T5" fmla="*/ 485775 h 485775"/>
            <a:gd name="T6" fmla="*/ 0 w 1495425"/>
            <a:gd name="T7" fmla="*/ 485775 h 485775"/>
            <a:gd name="T8" fmla="*/ 0 w 1495425"/>
            <a:gd name="T9" fmla="*/ 0 h 48577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95425"/>
            <a:gd name="T16" fmla="*/ 0 h 485775"/>
            <a:gd name="T17" fmla="*/ 1495425 w 1495425"/>
            <a:gd name="T18" fmla="*/ 485775 h 48577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95425" h="485775">
              <a:moveTo>
                <a:pt x="0" y="0"/>
              </a:moveTo>
              <a:lnTo>
                <a:pt x="1495425" y="0"/>
              </a:lnTo>
              <a:lnTo>
                <a:pt x="1495425" y="485775"/>
              </a:lnTo>
              <a:lnTo>
                <a:pt x="0" y="485775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4</xdr:row>
      <xdr:rowOff>209550</xdr:rowOff>
    </xdr:from>
    <xdr:to>
      <xdr:col>2</xdr:col>
      <xdr:colOff>0</xdr:colOff>
      <xdr:row>7</xdr:row>
      <xdr:rowOff>0</xdr:rowOff>
    </xdr:to>
    <xdr:sp macro="" textlink="">
      <xdr:nvSpPr>
        <xdr:cNvPr id="23343" name="テキスト 982">
          <a:extLst>
            <a:ext uri="{FF2B5EF4-FFF2-40B4-BE49-F238E27FC236}">
              <a16:creationId xmlns:a16="http://schemas.microsoft.com/office/drawing/2014/main" id="{00000000-0008-0000-0000-00002F5B0000}"/>
            </a:ext>
          </a:extLst>
        </xdr:cNvPr>
        <xdr:cNvSpPr txBox="1">
          <a:spLocks noChangeArrowheads="1"/>
        </xdr:cNvSpPr>
      </xdr:nvSpPr>
      <xdr:spPr bwMode="auto">
        <a:xfrm>
          <a:off x="0" y="866775"/>
          <a:ext cx="314325" cy="7334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190500</xdr:colOff>
      <xdr:row>13</xdr:row>
      <xdr:rowOff>190500</xdr:rowOff>
    </xdr:from>
    <xdr:to>
      <xdr:col>34</xdr:col>
      <xdr:colOff>19050</xdr:colOff>
      <xdr:row>15</xdr:row>
      <xdr:rowOff>57150</xdr:rowOff>
    </xdr:to>
    <xdr:sp macro="" textlink="">
      <xdr:nvSpPr>
        <xdr:cNvPr id="2032" name="text5" hidden="1">
          <a:extLs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 txBox="1">
          <a:spLocks noChangeArrowheads="1"/>
        </xdr:cNvSpPr>
      </xdr:nvSpPr>
      <xdr:spPr bwMode="auto">
        <a:xfrm>
          <a:off x="6886575" y="2857500"/>
          <a:ext cx="51435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枚</a:t>
          </a:r>
        </a:p>
      </xdr:txBody>
    </xdr:sp>
    <xdr:clientData/>
  </xdr:twoCellAnchor>
  <xdr:twoCellAnchor>
    <xdr:from>
      <xdr:col>40</xdr:col>
      <xdr:colOff>0</xdr:colOff>
      <xdr:row>5</xdr:row>
      <xdr:rowOff>19050</xdr:rowOff>
    </xdr:from>
    <xdr:to>
      <xdr:col>58</xdr:col>
      <xdr:colOff>0</xdr:colOff>
      <xdr:row>5</xdr:row>
      <xdr:rowOff>19050</xdr:rowOff>
    </xdr:to>
    <xdr:sp macro="" textlink="">
      <xdr:nvSpPr>
        <xdr:cNvPr id="23345" name="Line 1141">
          <a:extLst>
            <a:ext uri="{FF2B5EF4-FFF2-40B4-BE49-F238E27FC236}">
              <a16:creationId xmlns:a16="http://schemas.microsoft.com/office/drawing/2014/main" id="{00000000-0008-0000-0000-0000315B0000}"/>
            </a:ext>
          </a:extLst>
        </xdr:cNvPr>
        <xdr:cNvSpPr>
          <a:spLocks noChangeShapeType="1"/>
        </xdr:cNvSpPr>
      </xdr:nvSpPr>
      <xdr:spPr bwMode="auto">
        <a:xfrm>
          <a:off x="8296275" y="923925"/>
          <a:ext cx="2752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19050</xdr:colOff>
      <xdr:row>14</xdr:row>
      <xdr:rowOff>9525</xdr:rowOff>
    </xdr:from>
    <xdr:to>
      <xdr:col>52</xdr:col>
      <xdr:colOff>142875</xdr:colOff>
      <xdr:row>14</xdr:row>
      <xdr:rowOff>219075</xdr:rowOff>
    </xdr:to>
    <xdr:sp macro="" textlink="" fLocksText="0">
      <xdr:nvSpPr>
        <xdr:cNvPr id="2383" name="size2" hidden="1">
          <a:extLs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 txBox="1">
          <a:spLocks noChangeArrowheads="1"/>
        </xdr:cNvSpPr>
      </xdr:nvSpPr>
      <xdr:spPr bwMode="auto">
        <a:xfrm>
          <a:off x="9534525" y="2886075"/>
          <a:ext cx="733425" cy="2000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18288" tIns="18288" rIns="18288" bIns="18288" anchor="ctr" upright="1"/>
        <a:lstStyle/>
        <a:p>
          <a:pPr algn="ctr" rtl="0">
            <a:defRPr sz="1000"/>
          </a:pPr>
          <a:r>
            <a:rPr lang="ja-JP" altLang="en-US" sz="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歯厚分類表による</a:t>
          </a:r>
        </a:p>
      </xdr:txBody>
    </xdr:sp>
    <xdr:clientData/>
  </xdr:twoCellAnchor>
  <xdr:twoCellAnchor>
    <xdr:from>
      <xdr:col>18</xdr:col>
      <xdr:colOff>19050</xdr:colOff>
      <xdr:row>45</xdr:row>
      <xdr:rowOff>19050</xdr:rowOff>
    </xdr:from>
    <xdr:to>
      <xdr:col>24</xdr:col>
      <xdr:colOff>190500</xdr:colOff>
      <xdr:row>45</xdr:row>
      <xdr:rowOff>257175</xdr:rowOff>
    </xdr:to>
    <xdr:sp macro="" textlink="" fLocksText="0">
      <xdr:nvSpPr>
        <xdr:cNvPr id="2385" name="size4" hidden="1">
          <a:extLs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 txBox="1">
          <a:spLocks noChangeArrowheads="1"/>
        </xdr:cNvSpPr>
      </xdr:nvSpPr>
      <xdr:spPr bwMode="auto">
        <a:xfrm>
          <a:off x="3867150" y="9677400"/>
          <a:ext cx="1485900" cy="20955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←</a:t>
          </a:r>
        </a:p>
      </xdr:txBody>
    </xdr:sp>
    <xdr:clientData/>
  </xdr:twoCellAnchor>
  <xdr:twoCellAnchor>
    <xdr:from>
      <xdr:col>2</xdr:col>
      <xdr:colOff>171450</xdr:colOff>
      <xdr:row>3</xdr:row>
      <xdr:rowOff>123825</xdr:rowOff>
    </xdr:from>
    <xdr:to>
      <xdr:col>6</xdr:col>
      <xdr:colOff>123825</xdr:colOff>
      <xdr:row>4</xdr:row>
      <xdr:rowOff>209550</xdr:rowOff>
    </xdr:to>
    <xdr:sp macro="" textlink="入力ｼｰﾄ!$B$4">
      <xdr:nvSpPr>
        <xdr:cNvPr id="2409" name="工程_text">
          <a:extLs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 txBox="1">
          <a:spLocks noChangeArrowheads="1"/>
        </xdr:cNvSpPr>
      </xdr:nvSpPr>
      <xdr:spPr bwMode="auto">
        <a:xfrm>
          <a:off x="485775" y="581025"/>
          <a:ext cx="85725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/>
        <a:lstStyle/>
        <a:p>
          <a:fld id="{9AB7E9E1-9264-42F2-9944-28D242128503}" type="TxLink">
            <a:rPr lang="ja-JP" altLang="en-US" sz="2000" b="0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/>
            <a:t> </a:t>
          </a:fld>
          <a:endParaRPr lang="ja-JP" altLang="en-US" sz="2000"/>
        </a:p>
      </xdr:txBody>
    </xdr:sp>
    <xdr:clientData/>
  </xdr:twoCellAnchor>
  <xdr:twoCellAnchor>
    <xdr:from>
      <xdr:col>43</xdr:col>
      <xdr:colOff>0</xdr:colOff>
      <xdr:row>6</xdr:row>
      <xdr:rowOff>0</xdr:rowOff>
    </xdr:from>
    <xdr:to>
      <xdr:col>48</xdr:col>
      <xdr:colOff>0</xdr:colOff>
      <xdr:row>7</xdr:row>
      <xdr:rowOff>0</xdr:rowOff>
    </xdr:to>
    <xdr:sp macro="" textlink="">
      <xdr:nvSpPr>
        <xdr:cNvPr id="23349" name="Line 1459">
          <a:extLst>
            <a:ext uri="{FF2B5EF4-FFF2-40B4-BE49-F238E27FC236}">
              <a16:creationId xmlns:a16="http://schemas.microsoft.com/office/drawing/2014/main" id="{00000000-0008-0000-0000-0000355B0000}"/>
            </a:ext>
          </a:extLst>
        </xdr:cNvPr>
        <xdr:cNvSpPr>
          <a:spLocks noChangeShapeType="1"/>
        </xdr:cNvSpPr>
      </xdr:nvSpPr>
      <xdr:spPr bwMode="auto">
        <a:xfrm>
          <a:off x="8753475" y="1114425"/>
          <a:ext cx="762000" cy="4857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15</xdr:col>
      <xdr:colOff>209550</xdr:colOff>
      <xdr:row>12</xdr:row>
      <xdr:rowOff>171450</xdr:rowOff>
    </xdr:from>
    <xdr:to>
      <xdr:col>34</xdr:col>
      <xdr:colOff>104775</xdr:colOff>
      <xdr:row>14</xdr:row>
      <xdr:rowOff>171450</xdr:rowOff>
    </xdr:to>
    <xdr:sp macro="" textlink="" fLocksText="0">
      <xdr:nvSpPr>
        <xdr:cNvPr id="2614" name="size1_前" hidden="1">
          <a:extLs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 txBox="1">
          <a:spLocks noChangeArrowheads="1"/>
        </xdr:cNvSpPr>
      </xdr:nvSpPr>
      <xdr:spPr bwMode="auto">
        <a:xfrm>
          <a:off x="3400425" y="2628900"/>
          <a:ext cx="4086225" cy="4191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54864" tIns="32004" rIns="0" bIns="32004" anchor="ctr" upright="1"/>
        <a:lstStyle/>
        <a:p>
          <a:pPr algn="l" rtl="0">
            <a:defRPr sz="1000"/>
          </a:pPr>
          <a:r>
            <a:rPr lang="en-US" altLang="ja-JP" sz="2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60.970  </a:t>
          </a:r>
          <a:r>
            <a:rPr lang="ja-JP" altLang="en-US" sz="2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～  </a:t>
          </a:r>
          <a:r>
            <a:rPr lang="en-US" altLang="ja-JP" sz="2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60.996  (</a:t>
          </a:r>
          <a:r>
            <a:rPr lang="ja-JP" altLang="en-US" sz="2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通常</a:t>
          </a:r>
          <a:r>
            <a:rPr lang="en-US" altLang="ja-JP" sz="2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)</a:t>
          </a:r>
        </a:p>
      </xdr:txBody>
    </xdr:sp>
    <xdr:clientData/>
  </xdr:twoCellAnchor>
  <xdr:twoCellAnchor>
    <xdr:from>
      <xdr:col>11</xdr:col>
      <xdr:colOff>19050</xdr:colOff>
      <xdr:row>45</xdr:row>
      <xdr:rowOff>19050</xdr:rowOff>
    </xdr:from>
    <xdr:to>
      <xdr:col>17</xdr:col>
      <xdr:colOff>190500</xdr:colOff>
      <xdr:row>45</xdr:row>
      <xdr:rowOff>257175</xdr:rowOff>
    </xdr:to>
    <xdr:sp macro="" textlink="" fLocksText="0">
      <xdr:nvSpPr>
        <xdr:cNvPr id="2637" name="size4の左" hidden="1">
          <a:extLs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 txBox="1">
          <a:spLocks noChangeArrowheads="1"/>
        </xdr:cNvSpPr>
      </xdr:nvSpPr>
      <xdr:spPr bwMode="auto">
        <a:xfrm>
          <a:off x="2333625" y="9677400"/>
          <a:ext cx="1485900" cy="20955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歯厚分類表による</a:t>
          </a:r>
        </a:p>
      </xdr:txBody>
    </xdr:sp>
    <xdr:clientData/>
  </xdr:twoCellAnchor>
  <xdr:twoCellAnchor>
    <xdr:from>
      <xdr:col>53</xdr:col>
      <xdr:colOff>0</xdr:colOff>
      <xdr:row>6</xdr:row>
      <xdr:rowOff>0</xdr:rowOff>
    </xdr:from>
    <xdr:to>
      <xdr:col>58</xdr:col>
      <xdr:colOff>0</xdr:colOff>
      <xdr:row>7</xdr:row>
      <xdr:rowOff>0</xdr:rowOff>
    </xdr:to>
    <xdr:sp macro="" textlink="">
      <xdr:nvSpPr>
        <xdr:cNvPr id="23352" name="Rectangle 1736">
          <a:extLst>
            <a:ext uri="{FF2B5EF4-FFF2-40B4-BE49-F238E27FC236}">
              <a16:creationId xmlns:a16="http://schemas.microsoft.com/office/drawing/2014/main" id="{00000000-0008-0000-0000-0000385B0000}"/>
            </a:ext>
          </a:extLst>
        </xdr:cNvPr>
        <xdr:cNvSpPr>
          <a:spLocks noChangeArrowheads="1"/>
        </xdr:cNvSpPr>
      </xdr:nvSpPr>
      <xdr:spPr bwMode="auto">
        <a:xfrm>
          <a:off x="10277475" y="1114425"/>
          <a:ext cx="771525" cy="4857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219075</xdr:colOff>
      <xdr:row>8</xdr:row>
      <xdr:rowOff>66675</xdr:rowOff>
    </xdr:from>
    <xdr:to>
      <xdr:col>12</xdr:col>
      <xdr:colOff>28575</xdr:colOff>
      <xdr:row>11</xdr:row>
      <xdr:rowOff>38100</xdr:rowOff>
    </xdr:to>
    <xdr:sp macro="" textlink="">
      <xdr:nvSpPr>
        <xdr:cNvPr id="23353" name="type1_txt" hidden="1">
          <a:extLst>
            <a:ext uri="{FF2B5EF4-FFF2-40B4-BE49-F238E27FC236}">
              <a16:creationId xmlns:a16="http://schemas.microsoft.com/office/drawing/2014/main" id="{00000000-0008-0000-0000-0000395B0000}"/>
            </a:ext>
          </a:extLst>
        </xdr:cNvPr>
        <xdr:cNvSpPr txBox="1">
          <a:spLocks noChangeArrowheads="1"/>
        </xdr:cNvSpPr>
      </xdr:nvSpPr>
      <xdr:spPr bwMode="auto">
        <a:xfrm>
          <a:off x="533400" y="1752600"/>
          <a:ext cx="2028825" cy="600075"/>
        </a:xfrm>
        <a:prstGeom prst="rect">
          <a:avLst/>
        </a:prstGeom>
        <a:noFill/>
        <a:ln w="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anchor="ctr"/>
        <a:lstStyle/>
        <a:p>
          <a:pPr algn="ctr"/>
          <a:endParaRPr lang="ja-JP" altLang="en-US" sz="4000"/>
        </a:p>
      </xdr:txBody>
    </xdr:sp>
    <xdr:clientData/>
  </xdr:twoCellAnchor>
  <xdr:twoCellAnchor>
    <xdr:from>
      <xdr:col>16</xdr:col>
      <xdr:colOff>180975</xdr:colOff>
      <xdr:row>6</xdr:row>
      <xdr:rowOff>257175</xdr:rowOff>
    </xdr:from>
    <xdr:to>
      <xdr:col>18</xdr:col>
      <xdr:colOff>171450</xdr:colOff>
      <xdr:row>6</xdr:row>
      <xdr:rowOff>476250</xdr:rowOff>
    </xdr:to>
    <xdr:sp macro="" textlink="">
      <xdr:nvSpPr>
        <xdr:cNvPr id="23354" name="部品追番" hidden="1">
          <a:extLst>
            <a:ext uri="{FF2B5EF4-FFF2-40B4-BE49-F238E27FC236}">
              <a16:creationId xmlns:a16="http://schemas.microsoft.com/office/drawing/2014/main" id="{00000000-0008-0000-0000-00003A5B0000}"/>
            </a:ext>
          </a:extLst>
        </xdr:cNvPr>
        <xdr:cNvSpPr>
          <a:spLocks noChangeArrowheads="1"/>
        </xdr:cNvSpPr>
      </xdr:nvSpPr>
      <xdr:spPr bwMode="auto">
        <a:xfrm>
          <a:off x="3590925" y="1371600"/>
          <a:ext cx="428625" cy="219075"/>
        </a:xfrm>
        <a:prstGeom prst="rect">
          <a:avLst/>
        </a:prstGeom>
        <a:solidFill>
          <a:srgbClr val="FF99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6</xdr:row>
      <xdr:rowOff>238125</xdr:rowOff>
    </xdr:from>
    <xdr:to>
      <xdr:col>19</xdr:col>
      <xdr:colOff>0</xdr:colOff>
      <xdr:row>7</xdr:row>
      <xdr:rowOff>19050</xdr:rowOff>
    </xdr:to>
    <xdr:sp macro="" textlink="貼付けｼｰﾄ!$A$1" fLocksText="0">
      <xdr:nvSpPr>
        <xdr:cNvPr id="1109" name="text_hinban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 txBox="1">
          <a:spLocks noChangeArrowheads="1"/>
        </xdr:cNvSpPr>
      </xdr:nvSpPr>
      <xdr:spPr bwMode="auto">
        <a:xfrm>
          <a:off x="2533650" y="1352550"/>
          <a:ext cx="1495425" cy="2667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anchor="ctr"/>
        <a:lstStyle/>
        <a:p>
          <a:pPr algn="ctr"/>
          <a:fld id="{BDE8E325-A7EE-41A3-90D7-60B9FE9498AF}" type="TxLink">
            <a:rPr lang="ja-JP" altLang="en-US" sz="1400" b="0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14B-17151-00</a:t>
          </a:fld>
          <a:endParaRPr lang="ja-JP" altLang="en-US" sz="1400"/>
        </a:p>
      </xdr:txBody>
    </xdr:sp>
    <xdr:clientData/>
  </xdr:twoCellAnchor>
  <xdr:twoCellAnchor editAs="oneCell">
    <xdr:from>
      <xdr:col>14</xdr:col>
      <xdr:colOff>0</xdr:colOff>
      <xdr:row>24</xdr:row>
      <xdr:rowOff>57150</xdr:rowOff>
    </xdr:from>
    <xdr:to>
      <xdr:col>17</xdr:col>
      <xdr:colOff>0</xdr:colOff>
      <xdr:row>25</xdr:row>
      <xdr:rowOff>133350</xdr:rowOff>
    </xdr:to>
    <xdr:sp macro="" textlink="">
      <xdr:nvSpPr>
        <xdr:cNvPr id="2612" name="SUUTI_2">
          <a:extLs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 txBox="1">
          <a:spLocks noChangeArrowheads="1"/>
        </xdr:cNvSpPr>
      </xdr:nvSpPr>
      <xdr:spPr bwMode="auto">
        <a:xfrm>
          <a:off x="2971800" y="5029200"/>
          <a:ext cx="657225" cy="26670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明朝"/>
            </a:rPr>
            <a:t>( 4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明朝"/>
            </a:rPr>
            <a:t>枚 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明朝"/>
            </a:rPr>
            <a:t>)</a:t>
          </a:r>
        </a:p>
      </xdr:txBody>
    </xdr:sp>
    <xdr:clientData/>
  </xdr:twoCellAnchor>
  <xdr:twoCellAnchor editAs="oneCell">
    <xdr:from>
      <xdr:col>6</xdr:col>
      <xdr:colOff>142875</xdr:colOff>
      <xdr:row>24</xdr:row>
      <xdr:rowOff>57150</xdr:rowOff>
    </xdr:from>
    <xdr:to>
      <xdr:col>9</xdr:col>
      <xdr:colOff>123825</xdr:colOff>
      <xdr:row>25</xdr:row>
      <xdr:rowOff>133350</xdr:rowOff>
    </xdr:to>
    <xdr:sp macro="" textlink="">
      <xdr:nvSpPr>
        <xdr:cNvPr id="2611" name="SUUTI_1">
          <a:extLs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 txBox="1">
          <a:spLocks noChangeArrowheads="1"/>
        </xdr:cNvSpPr>
      </xdr:nvSpPr>
      <xdr:spPr bwMode="auto">
        <a:xfrm>
          <a:off x="1362075" y="5029200"/>
          <a:ext cx="638175" cy="26670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l-GR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 φ3 )</a:t>
          </a:r>
        </a:p>
      </xdr:txBody>
    </xdr:sp>
    <xdr:clientData/>
  </xdr:twoCellAnchor>
  <xdr:twoCellAnchor>
    <xdr:from>
      <xdr:col>35</xdr:col>
      <xdr:colOff>76200</xdr:colOff>
      <xdr:row>24</xdr:row>
      <xdr:rowOff>47625</xdr:rowOff>
    </xdr:from>
    <xdr:to>
      <xdr:col>36</xdr:col>
      <xdr:colOff>133350</xdr:colOff>
      <xdr:row>26</xdr:row>
      <xdr:rowOff>142875</xdr:rowOff>
    </xdr:to>
    <xdr:sp macro="" textlink="">
      <xdr:nvSpPr>
        <xdr:cNvPr id="1390" name="テキスト 366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 txBox="1">
          <a:spLocks noChangeArrowheads="1"/>
        </xdr:cNvSpPr>
      </xdr:nvSpPr>
      <xdr:spPr bwMode="auto">
        <a:xfrm>
          <a:off x="7610475" y="5019675"/>
          <a:ext cx="209550" cy="476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vert="wordArtVertRtl" wrap="square" lIns="27432" tIns="0" rIns="0" bIns="0" anchor="b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記号</a:t>
          </a:r>
        </a:p>
      </xdr:txBody>
    </xdr:sp>
    <xdr:clientData/>
  </xdr:twoCellAnchor>
  <xdr:twoCellAnchor>
    <xdr:from>
      <xdr:col>35</xdr:col>
      <xdr:colOff>47625</xdr:colOff>
      <xdr:row>27</xdr:row>
      <xdr:rowOff>0</xdr:rowOff>
    </xdr:from>
    <xdr:to>
      <xdr:col>58</xdr:col>
      <xdr:colOff>0</xdr:colOff>
      <xdr:row>27</xdr:row>
      <xdr:rowOff>0</xdr:rowOff>
    </xdr:to>
    <xdr:sp macro="" textlink="">
      <xdr:nvSpPr>
        <xdr:cNvPr id="23359" name="Line 367">
          <a:extLst>
            <a:ext uri="{FF2B5EF4-FFF2-40B4-BE49-F238E27FC236}">
              <a16:creationId xmlns:a16="http://schemas.microsoft.com/office/drawing/2014/main" id="{00000000-0008-0000-0000-00003F5B0000}"/>
            </a:ext>
          </a:extLst>
        </xdr:cNvPr>
        <xdr:cNvSpPr>
          <a:spLocks noChangeShapeType="1"/>
        </xdr:cNvSpPr>
      </xdr:nvSpPr>
      <xdr:spPr bwMode="auto">
        <a:xfrm>
          <a:off x="7581900" y="5543550"/>
          <a:ext cx="3467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76200</xdr:colOff>
      <xdr:row>26</xdr:row>
      <xdr:rowOff>104775</xdr:rowOff>
    </xdr:from>
    <xdr:to>
      <xdr:col>36</xdr:col>
      <xdr:colOff>114300</xdr:colOff>
      <xdr:row>28</xdr:row>
      <xdr:rowOff>123825</xdr:rowOff>
    </xdr:to>
    <xdr:sp macro="" textlink="">
      <xdr:nvSpPr>
        <xdr:cNvPr id="1397" name="テキスト 373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 txBox="1">
          <a:spLocks noChangeArrowheads="1"/>
        </xdr:cNvSpPr>
      </xdr:nvSpPr>
      <xdr:spPr bwMode="auto">
        <a:xfrm>
          <a:off x="7610475" y="5467350"/>
          <a:ext cx="19050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vert="wordArtVertRtl" wrap="square" lIns="27432" tIns="0" rIns="0" bIns="0" anchor="b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治具</a:t>
          </a:r>
        </a:p>
      </xdr:txBody>
    </xdr:sp>
    <xdr:clientData/>
  </xdr:twoCellAnchor>
  <xdr:twoCellAnchor>
    <xdr:from>
      <xdr:col>35</xdr:col>
      <xdr:colOff>47625</xdr:colOff>
      <xdr:row>29</xdr:row>
      <xdr:rowOff>0</xdr:rowOff>
    </xdr:from>
    <xdr:to>
      <xdr:col>58</xdr:col>
      <xdr:colOff>0</xdr:colOff>
      <xdr:row>29</xdr:row>
      <xdr:rowOff>0</xdr:rowOff>
    </xdr:to>
    <xdr:sp macro="" textlink="">
      <xdr:nvSpPr>
        <xdr:cNvPr id="23361" name="Line 378">
          <a:extLst>
            <a:ext uri="{FF2B5EF4-FFF2-40B4-BE49-F238E27FC236}">
              <a16:creationId xmlns:a16="http://schemas.microsoft.com/office/drawing/2014/main" id="{00000000-0008-0000-0000-0000415B0000}"/>
            </a:ext>
          </a:extLst>
        </xdr:cNvPr>
        <xdr:cNvSpPr>
          <a:spLocks noChangeShapeType="1"/>
        </xdr:cNvSpPr>
      </xdr:nvSpPr>
      <xdr:spPr bwMode="auto">
        <a:xfrm>
          <a:off x="7581900" y="6115050"/>
          <a:ext cx="3467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31</xdr:row>
      <xdr:rowOff>0</xdr:rowOff>
    </xdr:from>
    <xdr:to>
      <xdr:col>57</xdr:col>
      <xdr:colOff>219075</xdr:colOff>
      <xdr:row>31</xdr:row>
      <xdr:rowOff>0</xdr:rowOff>
    </xdr:to>
    <xdr:sp macro="" textlink="">
      <xdr:nvSpPr>
        <xdr:cNvPr id="23362" name="Line 379">
          <a:extLst>
            <a:ext uri="{FF2B5EF4-FFF2-40B4-BE49-F238E27FC236}">
              <a16:creationId xmlns:a16="http://schemas.microsoft.com/office/drawing/2014/main" id="{00000000-0008-0000-0000-0000425B0000}"/>
            </a:ext>
          </a:extLst>
        </xdr:cNvPr>
        <xdr:cNvSpPr>
          <a:spLocks noChangeShapeType="1"/>
        </xdr:cNvSpPr>
      </xdr:nvSpPr>
      <xdr:spPr bwMode="auto">
        <a:xfrm>
          <a:off x="7839075" y="657225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47625</xdr:colOff>
      <xdr:row>28</xdr:row>
      <xdr:rowOff>0</xdr:rowOff>
    </xdr:from>
    <xdr:to>
      <xdr:col>58</xdr:col>
      <xdr:colOff>0</xdr:colOff>
      <xdr:row>28</xdr:row>
      <xdr:rowOff>0</xdr:rowOff>
    </xdr:to>
    <xdr:sp macro="" textlink="">
      <xdr:nvSpPr>
        <xdr:cNvPr id="23363" name="Line 380">
          <a:extLst>
            <a:ext uri="{FF2B5EF4-FFF2-40B4-BE49-F238E27FC236}">
              <a16:creationId xmlns:a16="http://schemas.microsoft.com/office/drawing/2014/main" id="{00000000-0008-0000-0000-0000435B0000}"/>
            </a:ext>
          </a:extLst>
        </xdr:cNvPr>
        <xdr:cNvSpPr>
          <a:spLocks noChangeShapeType="1"/>
        </xdr:cNvSpPr>
      </xdr:nvSpPr>
      <xdr:spPr bwMode="auto">
        <a:xfrm>
          <a:off x="7581900" y="5829300"/>
          <a:ext cx="3467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76200</xdr:colOff>
      <xdr:row>27</xdr:row>
      <xdr:rowOff>219075</xdr:rowOff>
    </xdr:from>
    <xdr:to>
      <xdr:col>36</xdr:col>
      <xdr:colOff>114300</xdr:colOff>
      <xdr:row>29</xdr:row>
      <xdr:rowOff>114300</xdr:rowOff>
    </xdr:to>
    <xdr:sp macro="" textlink="">
      <xdr:nvSpPr>
        <xdr:cNvPr id="1405" name="テキスト 381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 txBox="1">
          <a:spLocks noChangeArrowheads="1"/>
        </xdr:cNvSpPr>
      </xdr:nvSpPr>
      <xdr:spPr bwMode="auto">
        <a:xfrm>
          <a:off x="7610475" y="5781675"/>
          <a:ext cx="190500" cy="4667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vert="wordArtVertRtl" wrap="square" lIns="27432" tIns="0" rIns="0" bIns="0" anchor="b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刃具</a:t>
          </a:r>
        </a:p>
      </xdr:txBody>
    </xdr:sp>
    <xdr:clientData/>
  </xdr:twoCellAnchor>
  <xdr:twoCellAnchor>
    <xdr:from>
      <xdr:col>47</xdr:col>
      <xdr:colOff>0</xdr:colOff>
      <xdr:row>27</xdr:row>
      <xdr:rowOff>0</xdr:rowOff>
    </xdr:from>
    <xdr:to>
      <xdr:col>47</xdr:col>
      <xdr:colOff>0</xdr:colOff>
      <xdr:row>38</xdr:row>
      <xdr:rowOff>0</xdr:rowOff>
    </xdr:to>
    <xdr:sp macro="" textlink="">
      <xdr:nvSpPr>
        <xdr:cNvPr id="23365" name="Line 383">
          <a:extLst>
            <a:ext uri="{FF2B5EF4-FFF2-40B4-BE49-F238E27FC236}">
              <a16:creationId xmlns:a16="http://schemas.microsoft.com/office/drawing/2014/main" id="{00000000-0008-0000-0000-0000455B0000}"/>
            </a:ext>
          </a:extLst>
        </xdr:cNvPr>
        <xdr:cNvSpPr>
          <a:spLocks noChangeShapeType="1"/>
        </xdr:cNvSpPr>
      </xdr:nvSpPr>
      <xdr:spPr bwMode="auto">
        <a:xfrm>
          <a:off x="9363075" y="5543550"/>
          <a:ext cx="0" cy="26289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66675</xdr:colOff>
      <xdr:row>28</xdr:row>
      <xdr:rowOff>266700</xdr:rowOff>
    </xdr:from>
    <xdr:to>
      <xdr:col>37</xdr:col>
      <xdr:colOff>19050</xdr:colOff>
      <xdr:row>37</xdr:row>
      <xdr:rowOff>104775</xdr:rowOff>
    </xdr:to>
    <xdr:sp macro="" textlink="">
      <xdr:nvSpPr>
        <xdr:cNvPr id="1409" name="テキスト 385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 txBox="1">
          <a:spLocks noChangeArrowheads="1"/>
        </xdr:cNvSpPr>
      </xdr:nvSpPr>
      <xdr:spPr bwMode="auto">
        <a:xfrm>
          <a:off x="7600950" y="6096000"/>
          <a:ext cx="257175" cy="19526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vert="wordArtVertRtl" wrap="square" lIns="27432" tIns="0" rIns="0" bIns="0" anchor="b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歯 車 諸 元</a:t>
          </a:r>
        </a:p>
      </xdr:txBody>
    </xdr:sp>
    <xdr:clientData/>
  </xdr:twoCellAnchor>
  <xdr:twoCellAnchor>
    <xdr:from>
      <xdr:col>37</xdr:col>
      <xdr:colOff>0</xdr:colOff>
      <xdr:row>30</xdr:row>
      <xdr:rowOff>0</xdr:rowOff>
    </xdr:from>
    <xdr:to>
      <xdr:col>57</xdr:col>
      <xdr:colOff>219075</xdr:colOff>
      <xdr:row>30</xdr:row>
      <xdr:rowOff>0</xdr:rowOff>
    </xdr:to>
    <xdr:sp macro="" textlink="">
      <xdr:nvSpPr>
        <xdr:cNvPr id="23367" name="Line 386">
          <a:extLst>
            <a:ext uri="{FF2B5EF4-FFF2-40B4-BE49-F238E27FC236}">
              <a16:creationId xmlns:a16="http://schemas.microsoft.com/office/drawing/2014/main" id="{00000000-0008-0000-0000-0000475B0000}"/>
            </a:ext>
          </a:extLst>
        </xdr:cNvPr>
        <xdr:cNvSpPr>
          <a:spLocks noChangeShapeType="1"/>
        </xdr:cNvSpPr>
      </xdr:nvSpPr>
      <xdr:spPr bwMode="auto">
        <a:xfrm>
          <a:off x="7839075" y="634365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32</xdr:row>
      <xdr:rowOff>0</xdr:rowOff>
    </xdr:from>
    <xdr:to>
      <xdr:col>57</xdr:col>
      <xdr:colOff>219075</xdr:colOff>
      <xdr:row>32</xdr:row>
      <xdr:rowOff>0</xdr:rowOff>
    </xdr:to>
    <xdr:sp macro="" textlink="">
      <xdr:nvSpPr>
        <xdr:cNvPr id="23368" name="Line 387">
          <a:extLst>
            <a:ext uri="{FF2B5EF4-FFF2-40B4-BE49-F238E27FC236}">
              <a16:creationId xmlns:a16="http://schemas.microsoft.com/office/drawing/2014/main" id="{00000000-0008-0000-0000-0000485B0000}"/>
            </a:ext>
          </a:extLst>
        </xdr:cNvPr>
        <xdr:cNvSpPr>
          <a:spLocks noChangeShapeType="1"/>
        </xdr:cNvSpPr>
      </xdr:nvSpPr>
      <xdr:spPr bwMode="auto">
        <a:xfrm>
          <a:off x="7839075" y="680085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32</xdr:row>
      <xdr:rowOff>0</xdr:rowOff>
    </xdr:from>
    <xdr:to>
      <xdr:col>57</xdr:col>
      <xdr:colOff>219075</xdr:colOff>
      <xdr:row>32</xdr:row>
      <xdr:rowOff>0</xdr:rowOff>
    </xdr:to>
    <xdr:sp macro="" textlink="">
      <xdr:nvSpPr>
        <xdr:cNvPr id="23369" name="Line 388">
          <a:extLst>
            <a:ext uri="{FF2B5EF4-FFF2-40B4-BE49-F238E27FC236}">
              <a16:creationId xmlns:a16="http://schemas.microsoft.com/office/drawing/2014/main" id="{00000000-0008-0000-0000-0000495B0000}"/>
            </a:ext>
          </a:extLst>
        </xdr:cNvPr>
        <xdr:cNvSpPr>
          <a:spLocks noChangeShapeType="1"/>
        </xdr:cNvSpPr>
      </xdr:nvSpPr>
      <xdr:spPr bwMode="auto">
        <a:xfrm>
          <a:off x="7839075" y="680085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33</xdr:row>
      <xdr:rowOff>0</xdr:rowOff>
    </xdr:from>
    <xdr:to>
      <xdr:col>57</xdr:col>
      <xdr:colOff>219075</xdr:colOff>
      <xdr:row>33</xdr:row>
      <xdr:rowOff>0</xdr:rowOff>
    </xdr:to>
    <xdr:sp macro="" textlink="">
      <xdr:nvSpPr>
        <xdr:cNvPr id="23370" name="Line 389">
          <a:extLst>
            <a:ext uri="{FF2B5EF4-FFF2-40B4-BE49-F238E27FC236}">
              <a16:creationId xmlns:a16="http://schemas.microsoft.com/office/drawing/2014/main" id="{00000000-0008-0000-0000-00004A5B0000}"/>
            </a:ext>
          </a:extLst>
        </xdr:cNvPr>
        <xdr:cNvSpPr>
          <a:spLocks noChangeShapeType="1"/>
        </xdr:cNvSpPr>
      </xdr:nvSpPr>
      <xdr:spPr bwMode="auto">
        <a:xfrm>
          <a:off x="7839075" y="702945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34</xdr:row>
      <xdr:rowOff>0</xdr:rowOff>
    </xdr:from>
    <xdr:to>
      <xdr:col>57</xdr:col>
      <xdr:colOff>219075</xdr:colOff>
      <xdr:row>34</xdr:row>
      <xdr:rowOff>0</xdr:rowOff>
    </xdr:to>
    <xdr:sp macro="" textlink="">
      <xdr:nvSpPr>
        <xdr:cNvPr id="23371" name="Line 390">
          <a:extLst>
            <a:ext uri="{FF2B5EF4-FFF2-40B4-BE49-F238E27FC236}">
              <a16:creationId xmlns:a16="http://schemas.microsoft.com/office/drawing/2014/main" id="{00000000-0008-0000-0000-00004B5B0000}"/>
            </a:ext>
          </a:extLst>
        </xdr:cNvPr>
        <xdr:cNvSpPr>
          <a:spLocks noChangeShapeType="1"/>
        </xdr:cNvSpPr>
      </xdr:nvSpPr>
      <xdr:spPr bwMode="auto">
        <a:xfrm>
          <a:off x="7839075" y="725805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35</xdr:row>
      <xdr:rowOff>0</xdr:rowOff>
    </xdr:from>
    <xdr:to>
      <xdr:col>57</xdr:col>
      <xdr:colOff>219075</xdr:colOff>
      <xdr:row>35</xdr:row>
      <xdr:rowOff>0</xdr:rowOff>
    </xdr:to>
    <xdr:sp macro="" textlink="">
      <xdr:nvSpPr>
        <xdr:cNvPr id="23372" name="Line 391">
          <a:extLst>
            <a:ext uri="{FF2B5EF4-FFF2-40B4-BE49-F238E27FC236}">
              <a16:creationId xmlns:a16="http://schemas.microsoft.com/office/drawing/2014/main" id="{00000000-0008-0000-0000-00004C5B0000}"/>
            </a:ext>
          </a:extLst>
        </xdr:cNvPr>
        <xdr:cNvSpPr>
          <a:spLocks noChangeShapeType="1"/>
        </xdr:cNvSpPr>
      </xdr:nvSpPr>
      <xdr:spPr bwMode="auto">
        <a:xfrm>
          <a:off x="7839075" y="748665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36</xdr:row>
      <xdr:rowOff>0</xdr:rowOff>
    </xdr:from>
    <xdr:to>
      <xdr:col>57</xdr:col>
      <xdr:colOff>219075</xdr:colOff>
      <xdr:row>36</xdr:row>
      <xdr:rowOff>0</xdr:rowOff>
    </xdr:to>
    <xdr:sp macro="" textlink="">
      <xdr:nvSpPr>
        <xdr:cNvPr id="23373" name="Line 392">
          <a:extLst>
            <a:ext uri="{FF2B5EF4-FFF2-40B4-BE49-F238E27FC236}">
              <a16:creationId xmlns:a16="http://schemas.microsoft.com/office/drawing/2014/main" id="{00000000-0008-0000-0000-00004D5B0000}"/>
            </a:ext>
          </a:extLst>
        </xdr:cNvPr>
        <xdr:cNvSpPr>
          <a:spLocks noChangeShapeType="1"/>
        </xdr:cNvSpPr>
      </xdr:nvSpPr>
      <xdr:spPr bwMode="auto">
        <a:xfrm>
          <a:off x="7839075" y="771525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47625</xdr:colOff>
      <xdr:row>37</xdr:row>
      <xdr:rowOff>0</xdr:rowOff>
    </xdr:from>
    <xdr:to>
      <xdr:col>58</xdr:col>
      <xdr:colOff>0</xdr:colOff>
      <xdr:row>37</xdr:row>
      <xdr:rowOff>0</xdr:rowOff>
    </xdr:to>
    <xdr:sp macro="" textlink="">
      <xdr:nvSpPr>
        <xdr:cNvPr id="23374" name="Line 393">
          <a:extLst>
            <a:ext uri="{FF2B5EF4-FFF2-40B4-BE49-F238E27FC236}">
              <a16:creationId xmlns:a16="http://schemas.microsoft.com/office/drawing/2014/main" id="{00000000-0008-0000-0000-00004E5B0000}"/>
            </a:ext>
          </a:extLst>
        </xdr:cNvPr>
        <xdr:cNvSpPr>
          <a:spLocks noChangeShapeType="1"/>
        </xdr:cNvSpPr>
      </xdr:nvSpPr>
      <xdr:spPr bwMode="auto">
        <a:xfrm>
          <a:off x="7581900" y="7943850"/>
          <a:ext cx="34671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0</xdr:col>
      <xdr:colOff>57150</xdr:colOff>
      <xdr:row>34</xdr:row>
      <xdr:rowOff>171450</xdr:rowOff>
    </xdr:from>
    <xdr:ext cx="3199850" cy="385234"/>
    <xdr:sp macro="" textlink="">
      <xdr:nvSpPr>
        <xdr:cNvPr id="17981" name="テキスト 407">
          <a:extLst>
            <a:ext uri="{FF2B5EF4-FFF2-40B4-BE49-F238E27FC236}">
              <a16:creationId xmlns:a16="http://schemas.microsoft.com/office/drawing/2014/main" id="{00000000-0008-0000-0000-00003D460000}"/>
            </a:ext>
          </a:extLst>
        </xdr:cNvPr>
        <xdr:cNvSpPr txBox="1">
          <a:spLocks noChangeArrowheads="1"/>
        </xdr:cNvSpPr>
      </xdr:nvSpPr>
      <xdr:spPr bwMode="auto">
        <a:xfrm>
          <a:off x="57150" y="7429500"/>
          <a:ext cx="3199850" cy="385234"/>
        </a:xfrm>
        <a:prstGeom prst="rect">
          <a:avLst/>
        </a:prstGeom>
        <a:solidFill>
          <a:srgbClr val="A6CAF0"/>
        </a:solidFill>
        <a:ln w="0">
          <a:noFill/>
          <a:miter lim="800000"/>
          <a:headEnd/>
          <a:tailEnd/>
        </a:ln>
      </xdr:spPr>
      <xdr:txBody>
        <a:bodyPr wrap="none" lIns="27432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   アーバー基準面、センター孔に ゴミ、切屑 無き事。</a:t>
          </a:r>
        </a:p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   カッター欠け 確認の事。</a:t>
          </a:r>
        </a:p>
      </xdr:txBody>
    </xdr:sp>
    <xdr:clientData/>
  </xdr:oneCellAnchor>
  <xdr:twoCellAnchor editAs="oneCell">
    <xdr:from>
      <xdr:col>18</xdr:col>
      <xdr:colOff>19050</xdr:colOff>
      <xdr:row>32</xdr:row>
      <xdr:rowOff>0</xdr:rowOff>
    </xdr:from>
    <xdr:to>
      <xdr:col>34</xdr:col>
      <xdr:colOff>28575</xdr:colOff>
      <xdr:row>37</xdr:row>
      <xdr:rowOff>0</xdr:rowOff>
    </xdr:to>
    <xdr:sp macro="" textlink="">
      <xdr:nvSpPr>
        <xdr:cNvPr id="23376" name="Rectangle 408">
          <a:extLst>
            <a:ext uri="{FF2B5EF4-FFF2-40B4-BE49-F238E27FC236}">
              <a16:creationId xmlns:a16="http://schemas.microsoft.com/office/drawing/2014/main" id="{00000000-0008-0000-0000-0000505B0000}"/>
            </a:ext>
          </a:extLst>
        </xdr:cNvPr>
        <xdr:cNvSpPr>
          <a:spLocks noChangeArrowheads="1"/>
        </xdr:cNvSpPr>
      </xdr:nvSpPr>
      <xdr:spPr bwMode="auto">
        <a:xfrm>
          <a:off x="3867150" y="6800850"/>
          <a:ext cx="3543300" cy="1143000"/>
        </a:xfrm>
        <a:custGeom>
          <a:avLst/>
          <a:gdLst>
            <a:gd name="T0" fmla="*/ 0 w 3543300"/>
            <a:gd name="T1" fmla="*/ 0 h 1143000"/>
            <a:gd name="T2" fmla="*/ 3543300 w 3543300"/>
            <a:gd name="T3" fmla="*/ 0 h 1143000"/>
            <a:gd name="T4" fmla="*/ 3543300 w 3543300"/>
            <a:gd name="T5" fmla="*/ 1143000 h 1143000"/>
            <a:gd name="T6" fmla="*/ 0 w 3543300"/>
            <a:gd name="T7" fmla="*/ 1143000 h 1143000"/>
            <a:gd name="T8" fmla="*/ 0 w 3543300"/>
            <a:gd name="T9" fmla="*/ 0 h 114300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543300"/>
            <a:gd name="T16" fmla="*/ 0 h 1143000"/>
            <a:gd name="T17" fmla="*/ 3543300 w 3543300"/>
            <a:gd name="T18" fmla="*/ 1143000 h 114300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543300" h="1143000">
              <a:moveTo>
                <a:pt x="0" y="0"/>
              </a:moveTo>
              <a:lnTo>
                <a:pt x="3543300" y="0"/>
              </a:lnTo>
              <a:lnTo>
                <a:pt x="3543300" y="1143000"/>
              </a:lnTo>
              <a:lnTo>
                <a:pt x="0" y="1143000"/>
              </a:lnTo>
              <a:lnTo>
                <a:pt x="0" y="0"/>
              </a:lnTo>
              <a:close/>
            </a:path>
          </a:pathLst>
        </a:custGeom>
        <a:noFill/>
        <a:ln w="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26</xdr:col>
      <xdr:colOff>28575</xdr:colOff>
      <xdr:row>32</xdr:row>
      <xdr:rowOff>0</xdr:rowOff>
    </xdr:from>
    <xdr:to>
      <xdr:col>26</xdr:col>
      <xdr:colOff>28575</xdr:colOff>
      <xdr:row>37</xdr:row>
      <xdr:rowOff>0</xdr:rowOff>
    </xdr:to>
    <xdr:sp macro="" textlink="">
      <xdr:nvSpPr>
        <xdr:cNvPr id="23377" name="Line 421">
          <a:extLst>
            <a:ext uri="{FF2B5EF4-FFF2-40B4-BE49-F238E27FC236}">
              <a16:creationId xmlns:a16="http://schemas.microsoft.com/office/drawing/2014/main" id="{00000000-0008-0000-0000-0000515B0000}"/>
            </a:ext>
          </a:extLst>
        </xdr:cNvPr>
        <xdr:cNvSpPr>
          <a:spLocks noChangeShapeType="1"/>
        </xdr:cNvSpPr>
      </xdr:nvSpPr>
      <xdr:spPr bwMode="auto">
        <a:xfrm flipH="1" flipV="1">
          <a:off x="5629275" y="6800850"/>
          <a:ext cx="0" cy="11430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27</xdr:col>
      <xdr:colOff>28575</xdr:colOff>
      <xdr:row>32</xdr:row>
      <xdr:rowOff>0</xdr:rowOff>
    </xdr:from>
    <xdr:to>
      <xdr:col>27</xdr:col>
      <xdr:colOff>28575</xdr:colOff>
      <xdr:row>37</xdr:row>
      <xdr:rowOff>0</xdr:rowOff>
    </xdr:to>
    <xdr:sp macro="" textlink="">
      <xdr:nvSpPr>
        <xdr:cNvPr id="23378" name="Line 422">
          <a:extLst>
            <a:ext uri="{FF2B5EF4-FFF2-40B4-BE49-F238E27FC236}">
              <a16:creationId xmlns:a16="http://schemas.microsoft.com/office/drawing/2014/main" id="{00000000-0008-0000-0000-0000525B0000}"/>
            </a:ext>
          </a:extLst>
        </xdr:cNvPr>
        <xdr:cNvSpPr>
          <a:spLocks noChangeShapeType="1"/>
        </xdr:cNvSpPr>
      </xdr:nvSpPr>
      <xdr:spPr bwMode="auto">
        <a:xfrm flipV="1">
          <a:off x="5810250" y="6800850"/>
          <a:ext cx="0" cy="11430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30</xdr:col>
      <xdr:colOff>28575</xdr:colOff>
      <xdr:row>32</xdr:row>
      <xdr:rowOff>0</xdr:rowOff>
    </xdr:from>
    <xdr:to>
      <xdr:col>30</xdr:col>
      <xdr:colOff>28575</xdr:colOff>
      <xdr:row>37</xdr:row>
      <xdr:rowOff>0</xdr:rowOff>
    </xdr:to>
    <xdr:sp macro="" textlink="">
      <xdr:nvSpPr>
        <xdr:cNvPr id="23379" name="Line 438">
          <a:extLst>
            <a:ext uri="{FF2B5EF4-FFF2-40B4-BE49-F238E27FC236}">
              <a16:creationId xmlns:a16="http://schemas.microsoft.com/office/drawing/2014/main" id="{00000000-0008-0000-0000-0000535B0000}"/>
            </a:ext>
          </a:extLst>
        </xdr:cNvPr>
        <xdr:cNvSpPr>
          <a:spLocks noChangeShapeType="1"/>
        </xdr:cNvSpPr>
      </xdr:nvSpPr>
      <xdr:spPr bwMode="auto">
        <a:xfrm flipH="1" flipV="1">
          <a:off x="6505575" y="6800850"/>
          <a:ext cx="0" cy="11430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22</xdr:col>
      <xdr:colOff>28575</xdr:colOff>
      <xdr:row>32</xdr:row>
      <xdr:rowOff>0</xdr:rowOff>
    </xdr:from>
    <xdr:to>
      <xdr:col>22</xdr:col>
      <xdr:colOff>28575</xdr:colOff>
      <xdr:row>37</xdr:row>
      <xdr:rowOff>0</xdr:rowOff>
    </xdr:to>
    <xdr:sp macro="" textlink="">
      <xdr:nvSpPr>
        <xdr:cNvPr id="23380" name="Line 783">
          <a:extLst>
            <a:ext uri="{FF2B5EF4-FFF2-40B4-BE49-F238E27FC236}">
              <a16:creationId xmlns:a16="http://schemas.microsoft.com/office/drawing/2014/main" id="{00000000-0008-0000-0000-0000545B0000}"/>
            </a:ext>
          </a:extLst>
        </xdr:cNvPr>
        <xdr:cNvSpPr>
          <a:spLocks noChangeShapeType="1"/>
        </xdr:cNvSpPr>
      </xdr:nvSpPr>
      <xdr:spPr bwMode="auto">
        <a:xfrm flipV="1">
          <a:off x="4810125" y="6800850"/>
          <a:ext cx="0" cy="11430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19</xdr:col>
      <xdr:colOff>28575</xdr:colOff>
      <xdr:row>32</xdr:row>
      <xdr:rowOff>0</xdr:rowOff>
    </xdr:from>
    <xdr:to>
      <xdr:col>19</xdr:col>
      <xdr:colOff>28575</xdr:colOff>
      <xdr:row>37</xdr:row>
      <xdr:rowOff>0</xdr:rowOff>
    </xdr:to>
    <xdr:sp macro="" textlink="">
      <xdr:nvSpPr>
        <xdr:cNvPr id="23381" name="Line 784">
          <a:extLst>
            <a:ext uri="{FF2B5EF4-FFF2-40B4-BE49-F238E27FC236}">
              <a16:creationId xmlns:a16="http://schemas.microsoft.com/office/drawing/2014/main" id="{00000000-0008-0000-0000-0000555B0000}"/>
            </a:ext>
          </a:extLst>
        </xdr:cNvPr>
        <xdr:cNvSpPr>
          <a:spLocks noChangeShapeType="1"/>
        </xdr:cNvSpPr>
      </xdr:nvSpPr>
      <xdr:spPr bwMode="auto">
        <a:xfrm flipV="1">
          <a:off x="4057650" y="6800850"/>
          <a:ext cx="0" cy="11430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17</xdr:col>
      <xdr:colOff>152400</xdr:colOff>
      <xdr:row>23</xdr:row>
      <xdr:rowOff>38100</xdr:rowOff>
    </xdr:from>
    <xdr:to>
      <xdr:col>34</xdr:col>
      <xdr:colOff>76200</xdr:colOff>
      <xdr:row>37</xdr:row>
      <xdr:rowOff>95250</xdr:rowOff>
    </xdr:to>
    <xdr:sp macro="" textlink="">
      <xdr:nvSpPr>
        <xdr:cNvPr id="23382" name="Rectangle 923">
          <a:extLst>
            <a:ext uri="{FF2B5EF4-FFF2-40B4-BE49-F238E27FC236}">
              <a16:creationId xmlns:a16="http://schemas.microsoft.com/office/drawing/2014/main" id="{00000000-0008-0000-0000-0000565B0000}"/>
            </a:ext>
          </a:extLst>
        </xdr:cNvPr>
        <xdr:cNvSpPr>
          <a:spLocks noChangeArrowheads="1"/>
        </xdr:cNvSpPr>
      </xdr:nvSpPr>
      <xdr:spPr bwMode="auto">
        <a:xfrm>
          <a:off x="3781425" y="4800600"/>
          <a:ext cx="3676650" cy="3238500"/>
        </a:xfrm>
        <a:custGeom>
          <a:avLst/>
          <a:gdLst>
            <a:gd name="T0" fmla="*/ 0 w 3676650"/>
            <a:gd name="T1" fmla="*/ 0 h 3238500"/>
            <a:gd name="T2" fmla="*/ 3676650 w 3676650"/>
            <a:gd name="T3" fmla="*/ 0 h 3238500"/>
            <a:gd name="T4" fmla="*/ 3676650 w 3676650"/>
            <a:gd name="T5" fmla="*/ 3238500 h 3238500"/>
            <a:gd name="T6" fmla="*/ 0 w 3676650"/>
            <a:gd name="T7" fmla="*/ 3238500 h 3238500"/>
            <a:gd name="T8" fmla="*/ 0 w 3676650"/>
            <a:gd name="T9" fmla="*/ 0 h 323850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676650"/>
            <a:gd name="T16" fmla="*/ 0 h 3238500"/>
            <a:gd name="T17" fmla="*/ 3676650 w 3676650"/>
            <a:gd name="T18" fmla="*/ 3238500 h 323850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676650" h="3238500">
              <a:moveTo>
                <a:pt x="0" y="0"/>
              </a:moveTo>
              <a:lnTo>
                <a:pt x="3676650" y="0"/>
              </a:lnTo>
              <a:lnTo>
                <a:pt x="3676650" y="3238500"/>
              </a:lnTo>
              <a:lnTo>
                <a:pt x="0" y="3238500"/>
              </a:lnTo>
              <a:lnTo>
                <a:pt x="0" y="0"/>
              </a:lnTo>
              <a:close/>
            </a:path>
          </a:pathLst>
        </a:cu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18</xdr:col>
      <xdr:colOff>19050</xdr:colOff>
      <xdr:row>33</xdr:row>
      <xdr:rowOff>0</xdr:rowOff>
    </xdr:from>
    <xdr:to>
      <xdr:col>34</xdr:col>
      <xdr:colOff>28575</xdr:colOff>
      <xdr:row>33</xdr:row>
      <xdr:rowOff>0</xdr:rowOff>
    </xdr:to>
    <xdr:sp macro="" textlink="">
      <xdr:nvSpPr>
        <xdr:cNvPr id="23383" name="Line 978">
          <a:extLst>
            <a:ext uri="{FF2B5EF4-FFF2-40B4-BE49-F238E27FC236}">
              <a16:creationId xmlns:a16="http://schemas.microsoft.com/office/drawing/2014/main" id="{00000000-0008-0000-0000-0000575B0000}"/>
            </a:ext>
          </a:extLst>
        </xdr:cNvPr>
        <xdr:cNvSpPr>
          <a:spLocks noChangeShapeType="1"/>
        </xdr:cNvSpPr>
      </xdr:nvSpPr>
      <xdr:spPr bwMode="auto">
        <a:xfrm>
          <a:off x="3867150" y="7029450"/>
          <a:ext cx="35433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18</xdr:col>
      <xdr:colOff>19050</xdr:colOff>
      <xdr:row>34</xdr:row>
      <xdr:rowOff>0</xdr:rowOff>
    </xdr:from>
    <xdr:to>
      <xdr:col>34</xdr:col>
      <xdr:colOff>28575</xdr:colOff>
      <xdr:row>34</xdr:row>
      <xdr:rowOff>0</xdr:rowOff>
    </xdr:to>
    <xdr:sp macro="" textlink="">
      <xdr:nvSpPr>
        <xdr:cNvPr id="23384" name="Line 979">
          <a:extLst>
            <a:ext uri="{FF2B5EF4-FFF2-40B4-BE49-F238E27FC236}">
              <a16:creationId xmlns:a16="http://schemas.microsoft.com/office/drawing/2014/main" id="{00000000-0008-0000-0000-0000585B0000}"/>
            </a:ext>
          </a:extLst>
        </xdr:cNvPr>
        <xdr:cNvSpPr>
          <a:spLocks noChangeShapeType="1"/>
        </xdr:cNvSpPr>
      </xdr:nvSpPr>
      <xdr:spPr bwMode="auto">
        <a:xfrm>
          <a:off x="3867150" y="7258050"/>
          <a:ext cx="35433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18</xdr:col>
      <xdr:colOff>19050</xdr:colOff>
      <xdr:row>35</xdr:row>
      <xdr:rowOff>0</xdr:rowOff>
    </xdr:from>
    <xdr:to>
      <xdr:col>34</xdr:col>
      <xdr:colOff>28575</xdr:colOff>
      <xdr:row>35</xdr:row>
      <xdr:rowOff>0</xdr:rowOff>
    </xdr:to>
    <xdr:sp macro="" textlink="">
      <xdr:nvSpPr>
        <xdr:cNvPr id="23385" name="Line 980">
          <a:extLst>
            <a:ext uri="{FF2B5EF4-FFF2-40B4-BE49-F238E27FC236}">
              <a16:creationId xmlns:a16="http://schemas.microsoft.com/office/drawing/2014/main" id="{00000000-0008-0000-0000-0000595B0000}"/>
            </a:ext>
          </a:extLst>
        </xdr:cNvPr>
        <xdr:cNvSpPr>
          <a:spLocks noChangeShapeType="1"/>
        </xdr:cNvSpPr>
      </xdr:nvSpPr>
      <xdr:spPr bwMode="auto">
        <a:xfrm>
          <a:off x="3867150" y="7486650"/>
          <a:ext cx="35433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18</xdr:col>
      <xdr:colOff>19050</xdr:colOff>
      <xdr:row>36</xdr:row>
      <xdr:rowOff>0</xdr:rowOff>
    </xdr:from>
    <xdr:to>
      <xdr:col>34</xdr:col>
      <xdr:colOff>28575</xdr:colOff>
      <xdr:row>36</xdr:row>
      <xdr:rowOff>0</xdr:rowOff>
    </xdr:to>
    <xdr:sp macro="" textlink="">
      <xdr:nvSpPr>
        <xdr:cNvPr id="23386" name="Line 981">
          <a:extLst>
            <a:ext uri="{FF2B5EF4-FFF2-40B4-BE49-F238E27FC236}">
              <a16:creationId xmlns:a16="http://schemas.microsoft.com/office/drawing/2014/main" id="{00000000-0008-0000-0000-00005A5B0000}"/>
            </a:ext>
          </a:extLst>
        </xdr:cNvPr>
        <xdr:cNvSpPr>
          <a:spLocks noChangeShapeType="1"/>
        </xdr:cNvSpPr>
      </xdr:nvSpPr>
      <xdr:spPr bwMode="auto">
        <a:xfrm>
          <a:off x="3867150" y="7715250"/>
          <a:ext cx="35433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85725</xdr:colOff>
      <xdr:row>24</xdr:row>
      <xdr:rowOff>66675</xdr:rowOff>
    </xdr:from>
    <xdr:to>
      <xdr:col>2</xdr:col>
      <xdr:colOff>123825</xdr:colOff>
      <xdr:row>25</xdr:row>
      <xdr:rowOff>114300</xdr:rowOff>
    </xdr:to>
    <xdr:sp macro="" textlink="入力ｼｰﾄ!$C$22">
      <xdr:nvSpPr>
        <xdr:cNvPr id="2325" name="テキスト 1301">
          <a:extLs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 txBox="1">
          <a:spLocks noChangeArrowheads="1"/>
        </xdr:cNvSpPr>
      </xdr:nvSpPr>
      <xdr:spPr bwMode="auto">
        <a:xfrm>
          <a:off x="85725" y="5038725"/>
          <a:ext cx="352425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767FEAAB-71C9-4877-84FB-EB370F37A75B}" type="TxLink">
            <a:rPr lang="ja-JP" altLang="en-US" sz="7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サイズ</a:t>
          </a:fld>
          <a:endParaRPr lang="ja-JP" altLang="en-US" sz="7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2</xdr:col>
      <xdr:colOff>123825</xdr:colOff>
      <xdr:row>24</xdr:row>
      <xdr:rowOff>57150</xdr:rowOff>
    </xdr:from>
    <xdr:to>
      <xdr:col>6</xdr:col>
      <xdr:colOff>200025</xdr:colOff>
      <xdr:row>25</xdr:row>
      <xdr:rowOff>133350</xdr:rowOff>
    </xdr:to>
    <xdr:sp macro="" textlink="入力ｼｰﾄ!$D$22">
      <xdr:nvSpPr>
        <xdr:cNvPr id="2326" name="name_1">
          <a:extLs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 txBox="1">
          <a:spLocks noChangeArrowheads="1"/>
        </xdr:cNvSpPr>
      </xdr:nvSpPr>
      <xdr:spPr bwMode="auto">
        <a:xfrm>
          <a:off x="438150" y="5029200"/>
          <a:ext cx="981075" cy="2667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06E84797-53ED-47EC-9B4D-F9EB7A125030}" type="TxLink"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オーバーピン径</a:t>
          </a:fld>
          <a:endParaRPr lang="ja-JP" altLang="en-US" sz="9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0</xdr:col>
      <xdr:colOff>114300</xdr:colOff>
      <xdr:row>25</xdr:row>
      <xdr:rowOff>133350</xdr:rowOff>
    </xdr:from>
    <xdr:to>
      <xdr:col>17</xdr:col>
      <xdr:colOff>0</xdr:colOff>
      <xdr:row>25</xdr:row>
      <xdr:rowOff>133350</xdr:rowOff>
    </xdr:to>
    <xdr:sp macro="" textlink="">
      <xdr:nvSpPr>
        <xdr:cNvPr id="23389" name="Line 1290">
          <a:extLst>
            <a:ext uri="{FF2B5EF4-FFF2-40B4-BE49-F238E27FC236}">
              <a16:creationId xmlns:a16="http://schemas.microsoft.com/office/drawing/2014/main" id="{00000000-0008-0000-0000-00005D5B0000}"/>
            </a:ext>
          </a:extLst>
        </xdr:cNvPr>
        <xdr:cNvSpPr>
          <a:spLocks noChangeShapeType="1"/>
        </xdr:cNvSpPr>
      </xdr:nvSpPr>
      <xdr:spPr bwMode="auto">
        <a:xfrm>
          <a:off x="114300" y="5295900"/>
          <a:ext cx="35147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104775</xdr:colOff>
      <xdr:row>26</xdr:row>
      <xdr:rowOff>152400</xdr:rowOff>
    </xdr:from>
    <xdr:to>
      <xdr:col>17</xdr:col>
      <xdr:colOff>0</xdr:colOff>
      <xdr:row>26</xdr:row>
      <xdr:rowOff>152400</xdr:rowOff>
    </xdr:to>
    <xdr:sp macro="" textlink="">
      <xdr:nvSpPr>
        <xdr:cNvPr id="23390" name="Line 1291">
          <a:extLst>
            <a:ext uri="{FF2B5EF4-FFF2-40B4-BE49-F238E27FC236}">
              <a16:creationId xmlns:a16="http://schemas.microsoft.com/office/drawing/2014/main" id="{00000000-0008-0000-0000-00005E5B0000}"/>
            </a:ext>
          </a:extLst>
        </xdr:cNvPr>
        <xdr:cNvSpPr>
          <a:spLocks noChangeShapeType="1"/>
        </xdr:cNvSpPr>
      </xdr:nvSpPr>
      <xdr:spPr bwMode="auto">
        <a:xfrm>
          <a:off x="104775" y="5505450"/>
          <a:ext cx="352425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104775</xdr:colOff>
      <xdr:row>27</xdr:row>
      <xdr:rowOff>190500</xdr:rowOff>
    </xdr:from>
    <xdr:to>
      <xdr:col>17</xdr:col>
      <xdr:colOff>0</xdr:colOff>
      <xdr:row>27</xdr:row>
      <xdr:rowOff>190500</xdr:rowOff>
    </xdr:to>
    <xdr:sp macro="" textlink="">
      <xdr:nvSpPr>
        <xdr:cNvPr id="23391" name="Line 1292">
          <a:extLst>
            <a:ext uri="{FF2B5EF4-FFF2-40B4-BE49-F238E27FC236}">
              <a16:creationId xmlns:a16="http://schemas.microsoft.com/office/drawing/2014/main" id="{00000000-0008-0000-0000-00005F5B0000}"/>
            </a:ext>
          </a:extLst>
        </xdr:cNvPr>
        <xdr:cNvSpPr>
          <a:spLocks noChangeShapeType="1"/>
        </xdr:cNvSpPr>
      </xdr:nvSpPr>
      <xdr:spPr bwMode="auto">
        <a:xfrm>
          <a:off x="104775" y="5734050"/>
          <a:ext cx="352425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104775</xdr:colOff>
      <xdr:row>28</xdr:row>
      <xdr:rowOff>123825</xdr:rowOff>
    </xdr:from>
    <xdr:to>
      <xdr:col>17</xdr:col>
      <xdr:colOff>0</xdr:colOff>
      <xdr:row>28</xdr:row>
      <xdr:rowOff>123825</xdr:rowOff>
    </xdr:to>
    <xdr:sp macro="" textlink="">
      <xdr:nvSpPr>
        <xdr:cNvPr id="23392" name="Line 1293">
          <a:extLst>
            <a:ext uri="{FF2B5EF4-FFF2-40B4-BE49-F238E27FC236}">
              <a16:creationId xmlns:a16="http://schemas.microsoft.com/office/drawing/2014/main" id="{00000000-0008-0000-0000-0000605B0000}"/>
            </a:ext>
          </a:extLst>
        </xdr:cNvPr>
        <xdr:cNvSpPr>
          <a:spLocks noChangeShapeType="1"/>
        </xdr:cNvSpPr>
      </xdr:nvSpPr>
      <xdr:spPr bwMode="auto">
        <a:xfrm>
          <a:off x="104775" y="5953125"/>
          <a:ext cx="352425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114300</xdr:colOff>
      <xdr:row>29</xdr:row>
      <xdr:rowOff>57150</xdr:rowOff>
    </xdr:from>
    <xdr:to>
      <xdr:col>17</xdr:col>
      <xdr:colOff>9525</xdr:colOff>
      <xdr:row>29</xdr:row>
      <xdr:rowOff>57150</xdr:rowOff>
    </xdr:to>
    <xdr:sp macro="" textlink="">
      <xdr:nvSpPr>
        <xdr:cNvPr id="23393" name="Line 1294">
          <a:extLst>
            <a:ext uri="{FF2B5EF4-FFF2-40B4-BE49-F238E27FC236}">
              <a16:creationId xmlns:a16="http://schemas.microsoft.com/office/drawing/2014/main" id="{00000000-0008-0000-0000-0000615B0000}"/>
            </a:ext>
          </a:extLst>
        </xdr:cNvPr>
        <xdr:cNvSpPr>
          <a:spLocks noChangeShapeType="1"/>
        </xdr:cNvSpPr>
      </xdr:nvSpPr>
      <xdr:spPr bwMode="auto">
        <a:xfrm>
          <a:off x="114300" y="6172200"/>
          <a:ext cx="352425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114300</xdr:colOff>
      <xdr:row>30</xdr:row>
      <xdr:rowOff>57150</xdr:rowOff>
    </xdr:from>
    <xdr:to>
      <xdr:col>17</xdr:col>
      <xdr:colOff>0</xdr:colOff>
      <xdr:row>30</xdr:row>
      <xdr:rowOff>57150</xdr:rowOff>
    </xdr:to>
    <xdr:sp macro="" textlink="">
      <xdr:nvSpPr>
        <xdr:cNvPr id="23394" name="Line 1295">
          <a:extLst>
            <a:ext uri="{FF2B5EF4-FFF2-40B4-BE49-F238E27FC236}">
              <a16:creationId xmlns:a16="http://schemas.microsoft.com/office/drawing/2014/main" id="{00000000-0008-0000-0000-0000625B0000}"/>
            </a:ext>
          </a:extLst>
        </xdr:cNvPr>
        <xdr:cNvSpPr>
          <a:spLocks noChangeShapeType="1"/>
        </xdr:cNvSpPr>
      </xdr:nvSpPr>
      <xdr:spPr bwMode="auto">
        <a:xfrm>
          <a:off x="114300" y="6400800"/>
          <a:ext cx="35147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104775</xdr:colOff>
      <xdr:row>31</xdr:row>
      <xdr:rowOff>57150</xdr:rowOff>
    </xdr:from>
    <xdr:to>
      <xdr:col>17</xdr:col>
      <xdr:colOff>0</xdr:colOff>
      <xdr:row>31</xdr:row>
      <xdr:rowOff>57150</xdr:rowOff>
    </xdr:to>
    <xdr:sp macro="" textlink="">
      <xdr:nvSpPr>
        <xdr:cNvPr id="23395" name="Line 1296">
          <a:extLst>
            <a:ext uri="{FF2B5EF4-FFF2-40B4-BE49-F238E27FC236}">
              <a16:creationId xmlns:a16="http://schemas.microsoft.com/office/drawing/2014/main" id="{00000000-0008-0000-0000-0000635B0000}"/>
            </a:ext>
          </a:extLst>
        </xdr:cNvPr>
        <xdr:cNvSpPr>
          <a:spLocks noChangeShapeType="1"/>
        </xdr:cNvSpPr>
      </xdr:nvSpPr>
      <xdr:spPr bwMode="auto">
        <a:xfrm>
          <a:off x="104775" y="6629400"/>
          <a:ext cx="352425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114300</xdr:colOff>
      <xdr:row>32</xdr:row>
      <xdr:rowOff>57150</xdr:rowOff>
    </xdr:from>
    <xdr:to>
      <xdr:col>17</xdr:col>
      <xdr:colOff>9525</xdr:colOff>
      <xdr:row>32</xdr:row>
      <xdr:rowOff>57150</xdr:rowOff>
    </xdr:to>
    <xdr:sp macro="" textlink="">
      <xdr:nvSpPr>
        <xdr:cNvPr id="23396" name="Line 1297">
          <a:extLst>
            <a:ext uri="{FF2B5EF4-FFF2-40B4-BE49-F238E27FC236}">
              <a16:creationId xmlns:a16="http://schemas.microsoft.com/office/drawing/2014/main" id="{00000000-0008-0000-0000-0000645B0000}"/>
            </a:ext>
          </a:extLst>
        </xdr:cNvPr>
        <xdr:cNvSpPr>
          <a:spLocks noChangeShapeType="1"/>
        </xdr:cNvSpPr>
      </xdr:nvSpPr>
      <xdr:spPr bwMode="auto">
        <a:xfrm>
          <a:off x="114300" y="6858000"/>
          <a:ext cx="352425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123825</xdr:colOff>
      <xdr:row>24</xdr:row>
      <xdr:rowOff>57150</xdr:rowOff>
    </xdr:from>
    <xdr:to>
      <xdr:col>2</xdr:col>
      <xdr:colOff>123825</xdr:colOff>
      <xdr:row>33</xdr:row>
      <xdr:rowOff>76200</xdr:rowOff>
    </xdr:to>
    <xdr:sp macro="" textlink="">
      <xdr:nvSpPr>
        <xdr:cNvPr id="23397" name="Line 1298">
          <a:extLst>
            <a:ext uri="{FF2B5EF4-FFF2-40B4-BE49-F238E27FC236}">
              <a16:creationId xmlns:a16="http://schemas.microsoft.com/office/drawing/2014/main" id="{00000000-0008-0000-0000-0000655B0000}"/>
            </a:ext>
          </a:extLst>
        </xdr:cNvPr>
        <xdr:cNvSpPr>
          <a:spLocks noChangeShapeType="1"/>
        </xdr:cNvSpPr>
      </xdr:nvSpPr>
      <xdr:spPr bwMode="auto">
        <a:xfrm>
          <a:off x="438150" y="5029200"/>
          <a:ext cx="0" cy="20764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114300</xdr:colOff>
      <xdr:row>25</xdr:row>
      <xdr:rowOff>142875</xdr:rowOff>
    </xdr:from>
    <xdr:to>
      <xdr:col>2</xdr:col>
      <xdr:colOff>114300</xdr:colOff>
      <xdr:row>26</xdr:row>
      <xdr:rowOff>161925</xdr:rowOff>
    </xdr:to>
    <xdr:sp macro="" textlink="入力ｼｰﾄ!$C$23" fLocksText="0">
      <xdr:nvSpPr>
        <xdr:cNvPr id="2327" name="テキスト 1303">
          <a:extLs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 txBox="1">
          <a:spLocks noChangeArrowheads="1"/>
        </xdr:cNvSpPr>
      </xdr:nvSpPr>
      <xdr:spPr bwMode="auto">
        <a:xfrm>
          <a:off x="114300" y="5305425"/>
          <a:ext cx="314325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BABE568F-C487-429E-BFE3-728277B343F5}" type="TxLink"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－</a:t>
          </a:fld>
          <a:endParaRPr lang="ja-JP" altLang="en-US" sz="12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0</xdr:col>
      <xdr:colOff>114300</xdr:colOff>
      <xdr:row>26</xdr:row>
      <xdr:rowOff>173833</xdr:rowOff>
    </xdr:from>
    <xdr:to>
      <xdr:col>2</xdr:col>
      <xdr:colOff>114300</xdr:colOff>
      <xdr:row>27</xdr:row>
      <xdr:rowOff>173833</xdr:rowOff>
    </xdr:to>
    <xdr:sp macro="" textlink="入力ｼｰﾄ!$C$24" fLocksText="0">
      <xdr:nvSpPr>
        <xdr:cNvPr id="2328" name="テキスト 1304">
          <a:extLs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 txBox="1">
          <a:spLocks noChangeArrowheads="1"/>
        </xdr:cNvSpPr>
      </xdr:nvSpPr>
      <xdr:spPr bwMode="auto">
        <a:xfrm>
          <a:off x="114300" y="5526883"/>
          <a:ext cx="314325" cy="1905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00F94B94-9AFC-41C5-93DC-78BCD73588C8}" type="TxLink"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－</a:t>
          </a:fld>
          <a:endParaRPr lang="ja-JP" altLang="en-US" sz="12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0</xdr:col>
      <xdr:colOff>114300</xdr:colOff>
      <xdr:row>27</xdr:row>
      <xdr:rowOff>195265</xdr:rowOff>
    </xdr:from>
    <xdr:to>
      <xdr:col>2</xdr:col>
      <xdr:colOff>114300</xdr:colOff>
      <xdr:row>28</xdr:row>
      <xdr:rowOff>119065</xdr:rowOff>
    </xdr:to>
    <xdr:sp macro="" textlink="入力ｼｰﾄ!$C$25" fLocksText="0">
      <xdr:nvSpPr>
        <xdr:cNvPr id="2329" name="テキスト 1305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114300" y="5738815"/>
          <a:ext cx="314325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E569446C-6FC4-49C3-B971-105EC083E433}" type="TxLink"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－</a:t>
          </a:fld>
          <a:endParaRPr lang="ja-JP" altLang="en-US" sz="12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0</xdr:col>
      <xdr:colOff>116680</xdr:colOff>
      <xdr:row>28</xdr:row>
      <xdr:rowOff>123825</xdr:rowOff>
    </xdr:from>
    <xdr:to>
      <xdr:col>2</xdr:col>
      <xdr:colOff>116680</xdr:colOff>
      <xdr:row>29</xdr:row>
      <xdr:rowOff>76200</xdr:rowOff>
    </xdr:to>
    <xdr:sp macro="" textlink="入力ｼｰﾄ!$C$26" fLocksText="0">
      <xdr:nvSpPr>
        <xdr:cNvPr id="2330" name="テキスト 1306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116680" y="5953125"/>
          <a:ext cx="314325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3BABDB04-0CC7-4A23-AF00-E550784EAF0A}" type="TxLink"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－</a:t>
          </a:fld>
          <a:endParaRPr lang="ja-JP" altLang="en-US" sz="12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0</xdr:col>
      <xdr:colOff>114300</xdr:colOff>
      <xdr:row>29</xdr:row>
      <xdr:rowOff>66675</xdr:rowOff>
    </xdr:from>
    <xdr:to>
      <xdr:col>2</xdr:col>
      <xdr:colOff>114300</xdr:colOff>
      <xdr:row>30</xdr:row>
      <xdr:rowOff>57150</xdr:rowOff>
    </xdr:to>
    <xdr:sp macro="" textlink="入力ｼｰﾄ!$C$27" fLocksText="0">
      <xdr:nvSpPr>
        <xdr:cNvPr id="2331" name="テキスト 1307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114300" y="6181725"/>
          <a:ext cx="314325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37DA8E02-F95B-4C30-A6B9-2A5544786BA7}" type="TxLink"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－</a:t>
          </a:fld>
          <a:endParaRPr lang="ja-JP" altLang="en-US" sz="12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0</xdr:col>
      <xdr:colOff>104775</xdr:colOff>
      <xdr:row>30</xdr:row>
      <xdr:rowOff>66675</xdr:rowOff>
    </xdr:from>
    <xdr:to>
      <xdr:col>2</xdr:col>
      <xdr:colOff>114300</xdr:colOff>
      <xdr:row>31</xdr:row>
      <xdr:rowOff>38100</xdr:rowOff>
    </xdr:to>
    <xdr:sp macro="" textlink="入力ｼｰﾄ!$C$28" fLocksText="0">
      <xdr:nvSpPr>
        <xdr:cNvPr id="2332" name="テキスト 1308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104775" y="6410325"/>
          <a:ext cx="323850" cy="2000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DB7F6980-96D5-4701-A2CB-8987B50C00A7}" type="TxLink"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－</a:t>
          </a:fld>
          <a:endParaRPr lang="ja-JP" altLang="en-US" sz="12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0</xdr:col>
      <xdr:colOff>104775</xdr:colOff>
      <xdr:row>31</xdr:row>
      <xdr:rowOff>76200</xdr:rowOff>
    </xdr:from>
    <xdr:to>
      <xdr:col>2</xdr:col>
      <xdr:colOff>114300</xdr:colOff>
      <xdr:row>32</xdr:row>
      <xdr:rowOff>47625</xdr:rowOff>
    </xdr:to>
    <xdr:sp macro="" textlink="入力ｼｰﾄ!$C$29" fLocksText="0">
      <xdr:nvSpPr>
        <xdr:cNvPr id="2333" name="テキスト 1309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104775" y="6648450"/>
          <a:ext cx="323850" cy="2000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F4A4C6BE-9E9D-429A-B596-3077830658C0}" type="TxLink"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－</a:t>
          </a:fld>
          <a:endParaRPr lang="ja-JP" altLang="en-US" sz="12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0</xdr:col>
      <xdr:colOff>114300</xdr:colOff>
      <xdr:row>32</xdr:row>
      <xdr:rowOff>66675</xdr:rowOff>
    </xdr:from>
    <xdr:to>
      <xdr:col>2</xdr:col>
      <xdr:colOff>114300</xdr:colOff>
      <xdr:row>33</xdr:row>
      <xdr:rowOff>47625</xdr:rowOff>
    </xdr:to>
    <xdr:sp macro="" textlink="入力ｼｰﾄ!$C$30" fLocksText="0">
      <xdr:nvSpPr>
        <xdr:cNvPr id="2334" name="テキスト 1310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114300" y="6867525"/>
          <a:ext cx="314325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89AB552A-7E38-437F-9223-996C580A68B3}" type="TxLink"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－</a:t>
          </a:fld>
          <a:endParaRPr lang="ja-JP" altLang="en-US" sz="12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2</xdr:col>
      <xdr:colOff>47625</xdr:colOff>
      <xdr:row>32</xdr:row>
      <xdr:rowOff>66675</xdr:rowOff>
    </xdr:from>
    <xdr:to>
      <xdr:col>10</xdr:col>
      <xdr:colOff>9525</xdr:colOff>
      <xdr:row>33</xdr:row>
      <xdr:rowOff>47625</xdr:rowOff>
    </xdr:to>
    <xdr:sp macro="" textlink="" fLocksText="0">
      <xdr:nvSpPr>
        <xdr:cNvPr id="2342" name="左左8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361950" y="6867525"/>
          <a:ext cx="1743075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61.149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61.175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2</xdr:col>
      <xdr:colOff>47625</xdr:colOff>
      <xdr:row>31</xdr:row>
      <xdr:rowOff>57150</xdr:rowOff>
    </xdr:from>
    <xdr:to>
      <xdr:col>10</xdr:col>
      <xdr:colOff>9525</xdr:colOff>
      <xdr:row>32</xdr:row>
      <xdr:rowOff>57150</xdr:rowOff>
    </xdr:to>
    <xdr:sp macro="" textlink="" fLocksText="0">
      <xdr:nvSpPr>
        <xdr:cNvPr id="2341" name="左左7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361950" y="6629400"/>
          <a:ext cx="174307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61.124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61.149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2</xdr:col>
      <xdr:colOff>47625</xdr:colOff>
      <xdr:row>30</xdr:row>
      <xdr:rowOff>57150</xdr:rowOff>
    </xdr:from>
    <xdr:to>
      <xdr:col>10</xdr:col>
      <xdr:colOff>9525</xdr:colOff>
      <xdr:row>31</xdr:row>
      <xdr:rowOff>57150</xdr:rowOff>
    </xdr:to>
    <xdr:sp macro="" textlink="" fLocksText="0">
      <xdr:nvSpPr>
        <xdr:cNvPr id="2340" name="左左6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361950" y="6400800"/>
          <a:ext cx="174307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61.098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61.124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2</xdr:col>
      <xdr:colOff>47625</xdr:colOff>
      <xdr:row>29</xdr:row>
      <xdr:rowOff>57150</xdr:rowOff>
    </xdr:from>
    <xdr:to>
      <xdr:col>10</xdr:col>
      <xdr:colOff>9525</xdr:colOff>
      <xdr:row>30</xdr:row>
      <xdr:rowOff>57150</xdr:rowOff>
    </xdr:to>
    <xdr:sp macro="" textlink="" fLocksText="0">
      <xdr:nvSpPr>
        <xdr:cNvPr id="2339" name="左左5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361950" y="6172200"/>
          <a:ext cx="174307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61.073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61.098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2</xdr:col>
      <xdr:colOff>47625</xdr:colOff>
      <xdr:row>28</xdr:row>
      <xdr:rowOff>133350</xdr:rowOff>
    </xdr:from>
    <xdr:to>
      <xdr:col>10</xdr:col>
      <xdr:colOff>9525</xdr:colOff>
      <xdr:row>29</xdr:row>
      <xdr:rowOff>76200</xdr:rowOff>
    </xdr:to>
    <xdr:sp macro="" textlink="" fLocksText="0">
      <xdr:nvSpPr>
        <xdr:cNvPr id="2338" name="左左4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361950" y="5962650"/>
          <a:ext cx="174307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61.047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61.073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2</xdr:col>
      <xdr:colOff>47625</xdr:colOff>
      <xdr:row>27</xdr:row>
      <xdr:rowOff>192883</xdr:rowOff>
    </xdr:from>
    <xdr:to>
      <xdr:col>10</xdr:col>
      <xdr:colOff>9525</xdr:colOff>
      <xdr:row>28</xdr:row>
      <xdr:rowOff>135733</xdr:rowOff>
    </xdr:to>
    <xdr:sp macro="" textlink="" fLocksText="0">
      <xdr:nvSpPr>
        <xdr:cNvPr id="2337" name="左左3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361950" y="5736433"/>
          <a:ext cx="174307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61.022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61.047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2</xdr:col>
      <xdr:colOff>47625</xdr:colOff>
      <xdr:row>26</xdr:row>
      <xdr:rowOff>161926</xdr:rowOff>
    </xdr:from>
    <xdr:to>
      <xdr:col>10</xdr:col>
      <xdr:colOff>9525</xdr:colOff>
      <xdr:row>27</xdr:row>
      <xdr:rowOff>200026</xdr:rowOff>
    </xdr:to>
    <xdr:sp macro="" textlink="" fLocksText="0">
      <xdr:nvSpPr>
        <xdr:cNvPr id="2336" name="左左2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361950" y="5514976"/>
          <a:ext cx="174307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60.996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61.022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2</xdr:col>
      <xdr:colOff>47625</xdr:colOff>
      <xdr:row>25</xdr:row>
      <xdr:rowOff>133350</xdr:rowOff>
    </xdr:from>
    <xdr:to>
      <xdr:col>10</xdr:col>
      <xdr:colOff>9525</xdr:colOff>
      <xdr:row>26</xdr:row>
      <xdr:rowOff>171450</xdr:rowOff>
    </xdr:to>
    <xdr:sp macro="" textlink="" fLocksText="0">
      <xdr:nvSpPr>
        <xdr:cNvPr id="2335" name="左左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361950" y="5295900"/>
          <a:ext cx="174307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60.970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60.996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9</xdr:col>
      <xdr:colOff>123825</xdr:colOff>
      <xdr:row>24</xdr:row>
      <xdr:rowOff>57150</xdr:rowOff>
    </xdr:from>
    <xdr:to>
      <xdr:col>9</xdr:col>
      <xdr:colOff>123825</xdr:colOff>
      <xdr:row>33</xdr:row>
      <xdr:rowOff>85725</xdr:rowOff>
    </xdr:to>
    <xdr:sp macro="" textlink="">
      <xdr:nvSpPr>
        <xdr:cNvPr id="23414" name="Line 1518">
          <a:extLst>
            <a:ext uri="{FF2B5EF4-FFF2-40B4-BE49-F238E27FC236}">
              <a16:creationId xmlns:a16="http://schemas.microsoft.com/office/drawing/2014/main" id="{00000000-0008-0000-0000-0000765B0000}"/>
            </a:ext>
          </a:extLst>
        </xdr:cNvPr>
        <xdr:cNvSpPr>
          <a:spLocks noChangeShapeType="1"/>
        </xdr:cNvSpPr>
      </xdr:nvSpPr>
      <xdr:spPr bwMode="auto">
        <a:xfrm flipH="1">
          <a:off x="2000250" y="5029200"/>
          <a:ext cx="0" cy="20859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</xdr:col>
      <xdr:colOff>152400</xdr:colOff>
      <xdr:row>25</xdr:row>
      <xdr:rowOff>133350</xdr:rowOff>
    </xdr:from>
    <xdr:to>
      <xdr:col>17</xdr:col>
      <xdr:colOff>28575</xdr:colOff>
      <xdr:row>26</xdr:row>
      <xdr:rowOff>171450</xdr:rowOff>
    </xdr:to>
    <xdr:sp macro="" textlink="" fLocksText="0">
      <xdr:nvSpPr>
        <xdr:cNvPr id="2543" name="右左1">
          <a:extLs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 txBox="1">
          <a:spLocks noChangeArrowheads="1"/>
        </xdr:cNvSpPr>
      </xdr:nvSpPr>
      <xdr:spPr bwMode="auto">
        <a:xfrm>
          <a:off x="2028825" y="5295900"/>
          <a:ext cx="162877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19.19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19.20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9</xdr:col>
      <xdr:colOff>152400</xdr:colOff>
      <xdr:row>26</xdr:row>
      <xdr:rowOff>171450</xdr:rowOff>
    </xdr:from>
    <xdr:to>
      <xdr:col>17</xdr:col>
      <xdr:colOff>28575</xdr:colOff>
      <xdr:row>27</xdr:row>
      <xdr:rowOff>209550</xdr:rowOff>
    </xdr:to>
    <xdr:sp macro="" textlink="" fLocksText="0">
      <xdr:nvSpPr>
        <xdr:cNvPr id="2544" name="右左2">
          <a:extLs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 txBox="1">
          <a:spLocks noChangeArrowheads="1"/>
        </xdr:cNvSpPr>
      </xdr:nvSpPr>
      <xdr:spPr bwMode="auto">
        <a:xfrm>
          <a:off x="2028825" y="5524500"/>
          <a:ext cx="162877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19.20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19.21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9</xdr:col>
      <xdr:colOff>171450</xdr:colOff>
      <xdr:row>27</xdr:row>
      <xdr:rowOff>200025</xdr:rowOff>
    </xdr:from>
    <xdr:to>
      <xdr:col>17</xdr:col>
      <xdr:colOff>19050</xdr:colOff>
      <xdr:row>28</xdr:row>
      <xdr:rowOff>152400</xdr:rowOff>
    </xdr:to>
    <xdr:sp macro="" textlink="" fLocksText="0">
      <xdr:nvSpPr>
        <xdr:cNvPr id="2545" name="右左3">
          <a:extLs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 txBox="1">
          <a:spLocks noChangeArrowheads="1"/>
        </xdr:cNvSpPr>
      </xdr:nvSpPr>
      <xdr:spPr bwMode="auto">
        <a:xfrm>
          <a:off x="2047875" y="5743575"/>
          <a:ext cx="1600200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19.21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19.22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9</xdr:col>
      <xdr:colOff>171450</xdr:colOff>
      <xdr:row>28</xdr:row>
      <xdr:rowOff>123825</xdr:rowOff>
    </xdr:from>
    <xdr:to>
      <xdr:col>17</xdr:col>
      <xdr:colOff>19050</xdr:colOff>
      <xdr:row>29</xdr:row>
      <xdr:rowOff>76200</xdr:rowOff>
    </xdr:to>
    <xdr:sp macro="" textlink="" fLocksText="0">
      <xdr:nvSpPr>
        <xdr:cNvPr id="2546" name="右左4">
          <a:extLs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 txBox="1">
          <a:spLocks noChangeArrowheads="1"/>
        </xdr:cNvSpPr>
      </xdr:nvSpPr>
      <xdr:spPr bwMode="auto">
        <a:xfrm>
          <a:off x="2047875" y="5953125"/>
          <a:ext cx="1600200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19.22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19.23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9</xdr:col>
      <xdr:colOff>171450</xdr:colOff>
      <xdr:row>29</xdr:row>
      <xdr:rowOff>57150</xdr:rowOff>
    </xdr:from>
    <xdr:to>
      <xdr:col>17</xdr:col>
      <xdr:colOff>19050</xdr:colOff>
      <xdr:row>30</xdr:row>
      <xdr:rowOff>66675</xdr:rowOff>
    </xdr:to>
    <xdr:sp macro="" textlink="" fLocksText="0">
      <xdr:nvSpPr>
        <xdr:cNvPr id="2547" name="右左5">
          <a:extLs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 txBox="1">
          <a:spLocks noChangeArrowheads="1"/>
        </xdr:cNvSpPr>
      </xdr:nvSpPr>
      <xdr:spPr bwMode="auto">
        <a:xfrm>
          <a:off x="2047875" y="6172200"/>
          <a:ext cx="1600200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19.23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19.24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9</xdr:col>
      <xdr:colOff>161925</xdr:colOff>
      <xdr:row>30</xdr:row>
      <xdr:rowOff>57150</xdr:rowOff>
    </xdr:from>
    <xdr:to>
      <xdr:col>17</xdr:col>
      <xdr:colOff>19050</xdr:colOff>
      <xdr:row>31</xdr:row>
      <xdr:rowOff>66675</xdr:rowOff>
    </xdr:to>
    <xdr:sp macro="" textlink="" fLocksText="0">
      <xdr:nvSpPr>
        <xdr:cNvPr id="2548" name="右左6">
          <a:extLs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 txBox="1">
          <a:spLocks noChangeArrowheads="1"/>
        </xdr:cNvSpPr>
      </xdr:nvSpPr>
      <xdr:spPr bwMode="auto">
        <a:xfrm>
          <a:off x="2038350" y="6400800"/>
          <a:ext cx="1609725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19.24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19.25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9</xdr:col>
      <xdr:colOff>171450</xdr:colOff>
      <xdr:row>31</xdr:row>
      <xdr:rowOff>57150</xdr:rowOff>
    </xdr:from>
    <xdr:to>
      <xdr:col>17</xdr:col>
      <xdr:colOff>19050</xdr:colOff>
      <xdr:row>32</xdr:row>
      <xdr:rowOff>66675</xdr:rowOff>
    </xdr:to>
    <xdr:sp macro="" textlink="" fLocksText="0">
      <xdr:nvSpPr>
        <xdr:cNvPr id="2549" name="右左7">
          <a:extLs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 txBox="1">
          <a:spLocks noChangeArrowheads="1"/>
        </xdr:cNvSpPr>
      </xdr:nvSpPr>
      <xdr:spPr bwMode="auto">
        <a:xfrm>
          <a:off x="2047875" y="6629400"/>
          <a:ext cx="1600200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19.25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19.26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9</xdr:col>
      <xdr:colOff>161925</xdr:colOff>
      <xdr:row>32</xdr:row>
      <xdr:rowOff>57150</xdr:rowOff>
    </xdr:from>
    <xdr:to>
      <xdr:col>17</xdr:col>
      <xdr:colOff>19050</xdr:colOff>
      <xdr:row>33</xdr:row>
      <xdr:rowOff>38100</xdr:rowOff>
    </xdr:to>
    <xdr:sp macro="" textlink="" fLocksText="0">
      <xdr:nvSpPr>
        <xdr:cNvPr id="2550" name="右左8">
          <a:extLs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 txBox="1">
          <a:spLocks noChangeArrowheads="1"/>
        </xdr:cNvSpPr>
      </xdr:nvSpPr>
      <xdr:spPr bwMode="auto">
        <a:xfrm>
          <a:off x="2038350" y="6858000"/>
          <a:ext cx="1609725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19.26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を越え  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19.27 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以下</a:t>
          </a:r>
        </a:p>
      </xdr:txBody>
    </xdr:sp>
    <xdr:clientData/>
  </xdr:twoCellAnchor>
  <xdr:twoCellAnchor editAs="oneCell">
    <xdr:from>
      <xdr:col>9</xdr:col>
      <xdr:colOff>152400</xdr:colOff>
      <xdr:row>24</xdr:row>
      <xdr:rowOff>57150</xdr:rowOff>
    </xdr:from>
    <xdr:to>
      <xdr:col>14</xdr:col>
      <xdr:colOff>38100</xdr:colOff>
      <xdr:row>25</xdr:row>
      <xdr:rowOff>133350</xdr:rowOff>
    </xdr:to>
    <xdr:sp macro="" textlink="入力ｼｰﾄ!$G$22">
      <xdr:nvSpPr>
        <xdr:cNvPr id="2551" name="name_2">
          <a:extLs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 txBox="1">
          <a:spLocks noChangeArrowheads="1"/>
        </xdr:cNvSpPr>
      </xdr:nvSpPr>
      <xdr:spPr bwMode="auto">
        <a:xfrm>
          <a:off x="2028825" y="5029200"/>
          <a:ext cx="981075" cy="2667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fld id="{1AA7DF3E-F072-4879-80C3-74C3A42771DF}" type="TxLink"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ctr" rtl="0">
              <a:defRPr sz="1000"/>
            </a:pPr>
            <a:t>マタギ歯厚(参考)</a:t>
          </a:fld>
          <a:endParaRPr lang="en-US" altLang="ja-JP" sz="9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 editAs="oneCell">
    <xdr:from>
      <xdr:col>0</xdr:col>
      <xdr:colOff>104775</xdr:colOff>
      <xdr:row>24</xdr:row>
      <xdr:rowOff>57150</xdr:rowOff>
    </xdr:from>
    <xdr:to>
      <xdr:col>17</xdr:col>
      <xdr:colOff>0</xdr:colOff>
      <xdr:row>33</xdr:row>
      <xdr:rowOff>76200</xdr:rowOff>
    </xdr:to>
    <xdr:sp macro="" textlink="">
      <xdr:nvSpPr>
        <xdr:cNvPr id="23424" name="Rectangle 1582">
          <a:extLst>
            <a:ext uri="{FF2B5EF4-FFF2-40B4-BE49-F238E27FC236}">
              <a16:creationId xmlns:a16="http://schemas.microsoft.com/office/drawing/2014/main" id="{00000000-0008-0000-0000-0000805B0000}"/>
            </a:ext>
          </a:extLst>
        </xdr:cNvPr>
        <xdr:cNvSpPr>
          <a:spLocks noChangeArrowheads="1"/>
        </xdr:cNvSpPr>
      </xdr:nvSpPr>
      <xdr:spPr bwMode="auto">
        <a:xfrm>
          <a:off x="104775" y="5029200"/>
          <a:ext cx="3524250" cy="20764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133350</xdr:colOff>
      <xdr:row>22</xdr:row>
      <xdr:rowOff>0</xdr:rowOff>
    </xdr:from>
    <xdr:to>
      <xdr:col>17</xdr:col>
      <xdr:colOff>57150</xdr:colOff>
      <xdr:row>33</xdr:row>
      <xdr:rowOff>190500</xdr:rowOff>
    </xdr:to>
    <xdr:sp macro="" textlink="">
      <xdr:nvSpPr>
        <xdr:cNvPr id="23425" name="隠しＲ">
          <a:extLst>
            <a:ext uri="{FF2B5EF4-FFF2-40B4-BE49-F238E27FC236}">
              <a16:creationId xmlns:a16="http://schemas.microsoft.com/office/drawing/2014/main" id="{00000000-0008-0000-0000-0000815B0000}"/>
            </a:ext>
          </a:extLst>
        </xdr:cNvPr>
        <xdr:cNvSpPr txBox="1">
          <a:spLocks noChangeArrowheads="1"/>
        </xdr:cNvSpPr>
      </xdr:nvSpPr>
      <xdr:spPr bwMode="auto">
        <a:xfrm>
          <a:off x="2009775" y="4552950"/>
          <a:ext cx="1676400" cy="2667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57150</xdr:colOff>
      <xdr:row>22</xdr:row>
      <xdr:rowOff>0</xdr:rowOff>
    </xdr:from>
    <xdr:to>
      <xdr:col>9</xdr:col>
      <xdr:colOff>133350</xdr:colOff>
      <xdr:row>32</xdr:row>
      <xdr:rowOff>76200</xdr:rowOff>
    </xdr:to>
    <xdr:sp macro="" textlink="">
      <xdr:nvSpPr>
        <xdr:cNvPr id="23426" name="隠しＬ">
          <a:extLst>
            <a:ext uri="{FF2B5EF4-FFF2-40B4-BE49-F238E27FC236}">
              <a16:creationId xmlns:a16="http://schemas.microsoft.com/office/drawing/2014/main" id="{00000000-0008-0000-0000-0000825B0000}"/>
            </a:ext>
          </a:extLst>
        </xdr:cNvPr>
        <xdr:cNvSpPr txBox="1">
          <a:spLocks noChangeArrowheads="1"/>
        </xdr:cNvSpPr>
      </xdr:nvSpPr>
      <xdr:spPr bwMode="auto">
        <a:xfrm>
          <a:off x="57150" y="4552950"/>
          <a:ext cx="1952625" cy="23241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30</xdr:row>
      <xdr:rowOff>66675</xdr:rowOff>
    </xdr:from>
    <xdr:to>
      <xdr:col>17</xdr:col>
      <xdr:colOff>66675</xdr:colOff>
      <xdr:row>33</xdr:row>
      <xdr:rowOff>190500</xdr:rowOff>
    </xdr:to>
    <xdr:sp macro="" textlink="">
      <xdr:nvSpPr>
        <xdr:cNvPr id="23427" name="表隠し">
          <a:extLst>
            <a:ext uri="{FF2B5EF4-FFF2-40B4-BE49-F238E27FC236}">
              <a16:creationId xmlns:a16="http://schemas.microsoft.com/office/drawing/2014/main" id="{00000000-0008-0000-0000-0000835B0000}"/>
            </a:ext>
          </a:extLst>
        </xdr:cNvPr>
        <xdr:cNvSpPr txBox="1">
          <a:spLocks noChangeArrowheads="1"/>
        </xdr:cNvSpPr>
      </xdr:nvSpPr>
      <xdr:spPr bwMode="auto">
        <a:xfrm>
          <a:off x="76200" y="6410325"/>
          <a:ext cx="3619500" cy="8096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30</xdr:col>
      <xdr:colOff>9525</xdr:colOff>
      <xdr:row>31</xdr:row>
      <xdr:rowOff>38100</xdr:rowOff>
    </xdr:from>
    <xdr:to>
      <xdr:col>32</xdr:col>
      <xdr:colOff>85725</xdr:colOff>
      <xdr:row>31</xdr:row>
      <xdr:rowOff>209550</xdr:rowOff>
    </xdr:to>
    <xdr:sp macro="" textlink="">
      <xdr:nvSpPr>
        <xdr:cNvPr id="1951" name="テキスト 927">
          <a:extLs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 txBox="1">
          <a:spLocks noChangeArrowheads="1"/>
        </xdr:cNvSpPr>
      </xdr:nvSpPr>
      <xdr:spPr bwMode="auto">
        <a:xfrm>
          <a:off x="6486525" y="6610350"/>
          <a:ext cx="514350" cy="1714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歯筋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)</a:t>
          </a:r>
        </a:p>
      </xdr:txBody>
    </xdr:sp>
    <xdr:clientData/>
  </xdr:twoCellAnchor>
  <xdr:twoCellAnchor editAs="oneCell">
    <xdr:from>
      <xdr:col>26</xdr:col>
      <xdr:colOff>9525</xdr:colOff>
      <xdr:row>31</xdr:row>
      <xdr:rowOff>47625</xdr:rowOff>
    </xdr:from>
    <xdr:to>
      <xdr:col>28</xdr:col>
      <xdr:colOff>85725</xdr:colOff>
      <xdr:row>31</xdr:row>
      <xdr:rowOff>209550</xdr:rowOff>
    </xdr:to>
    <xdr:sp macro="" textlink="">
      <xdr:nvSpPr>
        <xdr:cNvPr id="1994" name="テキスト 970">
          <a:extLs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 txBox="1">
          <a:spLocks noChangeArrowheads="1"/>
        </xdr:cNvSpPr>
      </xdr:nvSpPr>
      <xdr:spPr bwMode="auto">
        <a:xfrm>
          <a:off x="5610225" y="6619875"/>
          <a:ext cx="514350" cy="1619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歯先</a:t>
          </a:r>
        </a:p>
      </xdr:txBody>
    </xdr:sp>
    <xdr:clientData/>
  </xdr:twoCellAnchor>
  <xdr:twoCellAnchor editAs="oneCell">
    <xdr:from>
      <xdr:col>21</xdr:col>
      <xdr:colOff>152400</xdr:colOff>
      <xdr:row>31</xdr:row>
      <xdr:rowOff>47625</xdr:rowOff>
    </xdr:from>
    <xdr:to>
      <xdr:col>24</xdr:col>
      <xdr:colOff>9525</xdr:colOff>
      <xdr:row>31</xdr:row>
      <xdr:rowOff>219075</xdr:rowOff>
    </xdr:to>
    <xdr:sp macro="" textlink="">
      <xdr:nvSpPr>
        <xdr:cNvPr id="2470" name="テキスト 1446">
          <a:extLs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 txBox="1">
          <a:spLocks noChangeArrowheads="1"/>
        </xdr:cNvSpPr>
      </xdr:nvSpPr>
      <xdr:spPr bwMode="auto">
        <a:xfrm>
          <a:off x="4657725" y="6619875"/>
          <a:ext cx="514350" cy="1714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歯形</a:t>
          </a: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)</a:t>
          </a:r>
        </a:p>
      </xdr:txBody>
    </xdr:sp>
    <xdr:clientData/>
  </xdr:twoCellAnchor>
  <xdr:twoCellAnchor editAs="oneCell">
    <xdr:from>
      <xdr:col>18</xdr:col>
      <xdr:colOff>9525</xdr:colOff>
      <xdr:row>23</xdr:row>
      <xdr:rowOff>57150</xdr:rowOff>
    </xdr:from>
    <xdr:to>
      <xdr:col>34</xdr:col>
      <xdr:colOff>0</xdr:colOff>
      <xdr:row>24</xdr:row>
      <xdr:rowOff>95250</xdr:rowOff>
    </xdr:to>
    <xdr:sp macro="" textlink="">
      <xdr:nvSpPr>
        <xdr:cNvPr id="1949" name="テキスト 925">
          <a:extLs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 txBox="1">
          <a:spLocks noChangeArrowheads="1"/>
        </xdr:cNvSpPr>
      </xdr:nvSpPr>
      <xdr:spPr bwMode="auto">
        <a:xfrm>
          <a:off x="3857625" y="4819650"/>
          <a:ext cx="3524250" cy="2476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  </a:t>
          </a:r>
          <a:r>
            <a:rPr lang="ja-JP" altLang="en-US" sz="14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④</a:t>
          </a: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  熱処理前   歯形 ・ 歯筋規格</a:t>
          </a:r>
        </a:p>
      </xdr:txBody>
    </xdr:sp>
    <xdr:clientData/>
  </xdr:twoCellAnchor>
  <xdr:twoCellAnchor editAs="oneCell">
    <xdr:from>
      <xdr:col>18</xdr:col>
      <xdr:colOff>0</xdr:colOff>
      <xdr:row>31</xdr:row>
      <xdr:rowOff>47625</xdr:rowOff>
    </xdr:from>
    <xdr:to>
      <xdr:col>20</xdr:col>
      <xdr:colOff>9525</xdr:colOff>
      <xdr:row>31</xdr:row>
      <xdr:rowOff>219075</xdr:rowOff>
    </xdr:to>
    <xdr:sp macro="" textlink="">
      <xdr:nvSpPr>
        <xdr:cNvPr id="2469" name="テキスト 1445">
          <a:extLs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 txBox="1">
          <a:spLocks noChangeArrowheads="1"/>
        </xdr:cNvSpPr>
      </xdr:nvSpPr>
      <xdr:spPr bwMode="auto">
        <a:xfrm>
          <a:off x="3848100" y="6619875"/>
          <a:ext cx="409575" cy="1714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歯元</a:t>
          </a:r>
        </a:p>
      </xdr:txBody>
    </xdr:sp>
    <xdr:clientData/>
  </xdr:twoCellAnchor>
  <xdr:oneCellAnchor>
    <xdr:from>
      <xdr:col>14</xdr:col>
      <xdr:colOff>142875</xdr:colOff>
      <xdr:row>21</xdr:row>
      <xdr:rowOff>180975</xdr:rowOff>
    </xdr:from>
    <xdr:ext cx="4109395" cy="273152"/>
    <xdr:sp macro="" textlink="">
      <xdr:nvSpPr>
        <xdr:cNvPr id="2703" name="テキスト 1679">
          <a:extLs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 txBox="1">
          <a:spLocks noChangeArrowheads="1"/>
        </xdr:cNvSpPr>
      </xdr:nvSpPr>
      <xdr:spPr bwMode="auto">
        <a:xfrm>
          <a:off x="3114675" y="4524375"/>
          <a:ext cx="4109395" cy="273152"/>
        </a:xfrm>
        <a:prstGeom prst="rect">
          <a:avLst/>
        </a:prstGeom>
        <a:solidFill>
          <a:srgbClr val="A6CAF0"/>
        </a:solidFill>
        <a:ln w="0">
          <a:noFill/>
          <a:miter lim="800000"/>
          <a:headEnd/>
          <a:tailEnd/>
        </a:ln>
      </xdr:spPr>
      <xdr:txBody>
        <a:bodyPr wrap="none" lIns="27432" tIns="22860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15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※YGK-2-120</a:t>
          </a:r>
          <a:r>
            <a:rPr lang="ja-JP" altLang="en-US" sz="15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で禁止されている歯形形状なきこと。</a:t>
          </a:r>
        </a:p>
      </xdr:txBody>
    </xdr:sp>
    <xdr:clientData/>
  </xdr:oneCellAnchor>
  <xdr:twoCellAnchor editAs="oneCell">
    <xdr:from>
      <xdr:col>18</xdr:col>
      <xdr:colOff>19050</xdr:colOff>
      <xdr:row>24</xdr:row>
      <xdr:rowOff>95250</xdr:rowOff>
    </xdr:from>
    <xdr:to>
      <xdr:col>34</xdr:col>
      <xdr:colOff>28575</xdr:colOff>
      <xdr:row>37</xdr:row>
      <xdr:rowOff>38100</xdr:rowOff>
    </xdr:to>
    <xdr:sp macro="" textlink="">
      <xdr:nvSpPr>
        <xdr:cNvPr id="23434" name="Rectangle 924">
          <a:extLst>
            <a:ext uri="{FF2B5EF4-FFF2-40B4-BE49-F238E27FC236}">
              <a16:creationId xmlns:a16="http://schemas.microsoft.com/office/drawing/2014/main" id="{00000000-0008-0000-0000-00008A5B0000}"/>
            </a:ext>
          </a:extLst>
        </xdr:cNvPr>
        <xdr:cNvSpPr>
          <a:spLocks noChangeArrowheads="1"/>
        </xdr:cNvSpPr>
      </xdr:nvSpPr>
      <xdr:spPr bwMode="auto">
        <a:xfrm>
          <a:off x="3867150" y="5067300"/>
          <a:ext cx="3543300" cy="2914650"/>
        </a:xfrm>
        <a:prstGeom prst="rect">
          <a:avLst/>
        </a:prstGeom>
        <a:noFill/>
        <a:ln w="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18</xdr:col>
      <xdr:colOff>66675</xdr:colOff>
      <xdr:row>24</xdr:row>
      <xdr:rowOff>66675</xdr:rowOff>
    </xdr:from>
    <xdr:to>
      <xdr:col>33</xdr:col>
      <xdr:colOff>66675</xdr:colOff>
      <xdr:row>31</xdr:row>
      <xdr:rowOff>76200</xdr:rowOff>
    </xdr:to>
    <xdr:pic>
      <xdr:nvPicPr>
        <xdr:cNvPr id="23435" name="Picture 2051">
          <a:extLst>
            <a:ext uri="{FF2B5EF4-FFF2-40B4-BE49-F238E27FC236}">
              <a16:creationId xmlns:a16="http://schemas.microsoft.com/office/drawing/2014/main" id="{00000000-0008-0000-0000-00008B5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14775" y="5038725"/>
          <a:ext cx="3286125" cy="1609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35</xdr:col>
      <xdr:colOff>47625</xdr:colOff>
      <xdr:row>24</xdr:row>
      <xdr:rowOff>0</xdr:rowOff>
    </xdr:from>
    <xdr:to>
      <xdr:col>58</xdr:col>
      <xdr:colOff>0</xdr:colOff>
      <xdr:row>24</xdr:row>
      <xdr:rowOff>0</xdr:rowOff>
    </xdr:to>
    <xdr:sp macro="" textlink="">
      <xdr:nvSpPr>
        <xdr:cNvPr id="23436" name="Line 2139">
          <a:extLst>
            <a:ext uri="{FF2B5EF4-FFF2-40B4-BE49-F238E27FC236}">
              <a16:creationId xmlns:a16="http://schemas.microsoft.com/office/drawing/2014/main" id="{00000000-0008-0000-0000-00008C5B0000}"/>
            </a:ext>
          </a:extLst>
        </xdr:cNvPr>
        <xdr:cNvSpPr>
          <a:spLocks noChangeShapeType="1"/>
        </xdr:cNvSpPr>
      </xdr:nvSpPr>
      <xdr:spPr bwMode="auto">
        <a:xfrm>
          <a:off x="7581900" y="4972050"/>
          <a:ext cx="34671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23</xdr:row>
      <xdr:rowOff>0</xdr:rowOff>
    </xdr:from>
    <xdr:to>
      <xdr:col>58</xdr:col>
      <xdr:colOff>0</xdr:colOff>
      <xdr:row>23</xdr:row>
      <xdr:rowOff>0</xdr:rowOff>
    </xdr:to>
    <xdr:sp macro="" textlink="">
      <xdr:nvSpPr>
        <xdr:cNvPr id="23437" name="Line 2140">
          <a:extLst>
            <a:ext uri="{FF2B5EF4-FFF2-40B4-BE49-F238E27FC236}">
              <a16:creationId xmlns:a16="http://schemas.microsoft.com/office/drawing/2014/main" id="{00000000-0008-0000-0000-00008D5B0000}"/>
            </a:ext>
          </a:extLst>
        </xdr:cNvPr>
        <xdr:cNvSpPr>
          <a:spLocks noChangeShapeType="1"/>
        </xdr:cNvSpPr>
      </xdr:nvSpPr>
      <xdr:spPr bwMode="auto">
        <a:xfrm>
          <a:off x="7839075" y="476250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66675</xdr:colOff>
      <xdr:row>22</xdr:row>
      <xdr:rowOff>85725</xdr:rowOff>
    </xdr:from>
    <xdr:to>
      <xdr:col>37</xdr:col>
      <xdr:colOff>0</xdr:colOff>
      <xdr:row>23</xdr:row>
      <xdr:rowOff>161925</xdr:rowOff>
    </xdr:to>
    <xdr:sp macro="" textlink="">
      <xdr:nvSpPr>
        <xdr:cNvPr id="6237" name="テキスト 158">
          <a:extLst>
            <a:ext uri="{FF2B5EF4-FFF2-40B4-BE49-F238E27FC236}">
              <a16:creationId xmlns:a16="http://schemas.microsoft.com/office/drawing/2014/main" id="{00000000-0008-0000-0000-00005D180000}"/>
            </a:ext>
          </a:extLst>
        </xdr:cNvPr>
        <xdr:cNvSpPr txBox="1">
          <a:spLocks noChangeArrowheads="1"/>
        </xdr:cNvSpPr>
      </xdr:nvSpPr>
      <xdr:spPr bwMode="auto">
        <a:xfrm>
          <a:off x="7600950" y="4638675"/>
          <a:ext cx="238125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⑥</a:t>
          </a:r>
        </a:p>
      </xdr:txBody>
    </xdr:sp>
    <xdr:clientData/>
  </xdr:twoCellAnchor>
  <xdr:twoCellAnchor>
    <xdr:from>
      <xdr:col>36</xdr:col>
      <xdr:colOff>123825</xdr:colOff>
      <xdr:row>21</xdr:row>
      <xdr:rowOff>142875</xdr:rowOff>
    </xdr:from>
    <xdr:to>
      <xdr:col>41</xdr:col>
      <xdr:colOff>66675</xdr:colOff>
      <xdr:row>24</xdr:row>
      <xdr:rowOff>0</xdr:rowOff>
    </xdr:to>
    <xdr:grpSp>
      <xdr:nvGrpSpPr>
        <xdr:cNvPr id="23439" name="Group 9034">
          <a:extLst>
            <a:ext uri="{FF2B5EF4-FFF2-40B4-BE49-F238E27FC236}">
              <a16:creationId xmlns:a16="http://schemas.microsoft.com/office/drawing/2014/main" id="{00000000-0008-0000-0000-00008F5B0000}"/>
            </a:ext>
          </a:extLst>
        </xdr:cNvPr>
        <xdr:cNvGrpSpPr>
          <a:grpSpLocks/>
        </xdr:cNvGrpSpPr>
      </xdr:nvGrpSpPr>
      <xdr:grpSpPr bwMode="auto">
        <a:xfrm>
          <a:off x="7810500" y="4486275"/>
          <a:ext cx="704850" cy="485775"/>
          <a:chOff x="820" y="471"/>
          <a:chExt cx="74" cy="51"/>
        </a:xfrm>
      </xdr:grpSpPr>
      <xdr:sp macro="" textlink="">
        <xdr:nvSpPr>
          <xdr:cNvPr id="18" name="テキスト 150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7" y="478"/>
            <a:ext cx="67" cy="22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段  刃  替時</a:t>
            </a:r>
          </a:p>
        </xdr:txBody>
      </xdr:sp>
      <xdr:sp macro="" textlink="">
        <xdr:nvSpPr>
          <xdr:cNvPr id="19" name="テキスト 150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0" y="471"/>
            <a:ext cx="31" cy="2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20" name="テキスト 150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8" y="471"/>
            <a:ext cx="31" cy="2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21" name="テキスト 151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4" y="499"/>
            <a:ext cx="53" cy="23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通  常</a:t>
            </a:r>
          </a:p>
        </xdr:txBody>
      </xdr:sp>
    </xdr:grpSp>
    <xdr:clientData/>
  </xdr:twoCellAnchor>
  <xdr:twoCellAnchor>
    <xdr:from>
      <xdr:col>41</xdr:col>
      <xdr:colOff>38100</xdr:colOff>
      <xdr:row>23</xdr:row>
      <xdr:rowOff>0</xdr:rowOff>
    </xdr:from>
    <xdr:to>
      <xdr:col>58</xdr:col>
      <xdr:colOff>0</xdr:colOff>
      <xdr:row>24</xdr:row>
      <xdr:rowOff>0</xdr:rowOff>
    </xdr:to>
    <xdr:sp macro="" textlink="">
      <xdr:nvSpPr>
        <xdr:cNvPr id="23440" name="Line 2148">
          <a:extLst>
            <a:ext uri="{FF2B5EF4-FFF2-40B4-BE49-F238E27FC236}">
              <a16:creationId xmlns:a16="http://schemas.microsoft.com/office/drawing/2014/main" id="{00000000-0008-0000-0000-0000905B0000}"/>
            </a:ext>
          </a:extLst>
        </xdr:cNvPr>
        <xdr:cNvSpPr>
          <a:spLocks noChangeShapeType="1"/>
        </xdr:cNvSpPr>
      </xdr:nvSpPr>
      <xdr:spPr bwMode="auto">
        <a:xfrm>
          <a:off x="8486775" y="4762500"/>
          <a:ext cx="2562225" cy="2095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66675</xdr:colOff>
      <xdr:row>36</xdr:row>
      <xdr:rowOff>104775</xdr:rowOff>
    </xdr:from>
    <xdr:to>
      <xdr:col>15</xdr:col>
      <xdr:colOff>114300</xdr:colOff>
      <xdr:row>37</xdr:row>
      <xdr:rowOff>104775</xdr:rowOff>
    </xdr:to>
    <xdr:sp macro="" textlink="">
      <xdr:nvSpPr>
        <xdr:cNvPr id="18183" name="テキスト 407">
          <a:extLst>
            <a:ext uri="{FF2B5EF4-FFF2-40B4-BE49-F238E27FC236}">
              <a16:creationId xmlns:a16="http://schemas.microsoft.com/office/drawing/2014/main" id="{00000000-0008-0000-0000-000007470000}"/>
            </a:ext>
          </a:extLst>
        </xdr:cNvPr>
        <xdr:cNvSpPr txBox="1">
          <a:spLocks noChangeArrowheads="1"/>
        </xdr:cNvSpPr>
      </xdr:nvSpPr>
      <xdr:spPr bwMode="auto">
        <a:xfrm>
          <a:off x="66675" y="7820025"/>
          <a:ext cx="3238500" cy="228600"/>
        </a:xfrm>
        <a:prstGeom prst="rect">
          <a:avLst/>
        </a:prstGeom>
        <a:solidFill>
          <a:srgbClr val="FF9966"/>
        </a:solidFill>
        <a:ln w="0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⑤ キズ、黒皮残り、バリ 無き事。</a:t>
          </a:r>
        </a:p>
      </xdr:txBody>
    </xdr:sp>
    <xdr:clientData/>
  </xdr:twoCellAnchor>
  <xdr:twoCellAnchor editAs="oneCell">
    <xdr:from>
      <xdr:col>0</xdr:col>
      <xdr:colOff>19050</xdr:colOff>
      <xdr:row>33</xdr:row>
      <xdr:rowOff>219075</xdr:rowOff>
    </xdr:from>
    <xdr:to>
      <xdr:col>6</xdr:col>
      <xdr:colOff>142875</xdr:colOff>
      <xdr:row>34</xdr:row>
      <xdr:rowOff>219075</xdr:rowOff>
    </xdr:to>
    <xdr:sp macro="" textlink="">
      <xdr:nvSpPr>
        <xdr:cNvPr id="6249" name="テキスト 407">
          <a:extLst>
            <a:ext uri="{FF2B5EF4-FFF2-40B4-BE49-F238E27FC236}">
              <a16:creationId xmlns:a16="http://schemas.microsoft.com/office/drawing/2014/main" id="{00000000-0008-0000-0000-000069180000}"/>
            </a:ext>
          </a:extLst>
        </xdr:cNvPr>
        <xdr:cNvSpPr txBox="1">
          <a:spLocks noChangeArrowheads="1"/>
        </xdr:cNvSpPr>
      </xdr:nvSpPr>
      <xdr:spPr bwMode="auto">
        <a:xfrm>
          <a:off x="19050" y="7258050"/>
          <a:ext cx="1343025" cy="228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 ［注意事項］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   </a:t>
          </a:r>
        </a:p>
      </xdr:txBody>
    </xdr:sp>
    <xdr:clientData/>
  </xdr:twoCellAnchor>
  <xdr:twoCellAnchor>
    <xdr:from>
      <xdr:col>16</xdr:col>
      <xdr:colOff>104775</xdr:colOff>
      <xdr:row>9</xdr:row>
      <xdr:rowOff>114300</xdr:rowOff>
    </xdr:from>
    <xdr:to>
      <xdr:col>25</xdr:col>
      <xdr:colOff>104775</xdr:colOff>
      <xdr:row>11</xdr:row>
      <xdr:rowOff>114300</xdr:rowOff>
    </xdr:to>
    <xdr:sp macro="" textlink="" fLocksText="0">
      <xdr:nvSpPr>
        <xdr:cNvPr id="17899" name="text1">
          <a:extLst>
            <a:ext uri="{FF2B5EF4-FFF2-40B4-BE49-F238E27FC236}">
              <a16:creationId xmlns:a16="http://schemas.microsoft.com/office/drawing/2014/main" id="{00000000-0008-0000-0000-0000EB450000}"/>
            </a:ext>
          </a:extLst>
        </xdr:cNvPr>
        <xdr:cNvSpPr txBox="1">
          <a:spLocks noChangeArrowheads="1"/>
        </xdr:cNvSpPr>
      </xdr:nvSpPr>
      <xdr:spPr bwMode="auto">
        <a:xfrm>
          <a:off x="3514725" y="2085975"/>
          <a:ext cx="1971675" cy="342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45720" tIns="27432" rIns="0" bIns="27432" anchor="ctr" upright="1"/>
        <a:lstStyle/>
        <a:p>
          <a:pPr algn="l" rtl="0">
            <a:defRPr sz="1000"/>
          </a:pPr>
          <a:r>
            <a:rPr lang="ja-JP" altLang="en-US" sz="2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マタギ歯厚</a:t>
          </a:r>
        </a:p>
      </xdr:txBody>
    </xdr:sp>
    <xdr:clientData/>
  </xdr:twoCellAnchor>
  <xdr:twoCellAnchor>
    <xdr:from>
      <xdr:col>22</xdr:col>
      <xdr:colOff>85725</xdr:colOff>
      <xdr:row>9</xdr:row>
      <xdr:rowOff>123825</xdr:rowOff>
    </xdr:from>
    <xdr:to>
      <xdr:col>34</xdr:col>
      <xdr:colOff>66675</xdr:colOff>
      <xdr:row>11</xdr:row>
      <xdr:rowOff>85725</xdr:rowOff>
    </xdr:to>
    <xdr:sp macro="" textlink="" fLocksText="0">
      <xdr:nvSpPr>
        <xdr:cNvPr id="2030" name="text3">
          <a:extLs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 txBox="1">
          <a:spLocks noChangeArrowheads="1"/>
        </xdr:cNvSpPr>
      </xdr:nvSpPr>
      <xdr:spPr bwMode="auto">
        <a:xfrm>
          <a:off x="4867275" y="2095500"/>
          <a:ext cx="2581275" cy="3048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altLang="ja-JP" sz="1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</a:t>
          </a:r>
          <a:r>
            <a:rPr lang="ja-JP" altLang="en-US" sz="1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マタギ枚数  枚</a:t>
          </a:r>
          <a:r>
            <a:rPr lang="en-US" altLang="ja-JP" sz="1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)</a:t>
          </a:r>
        </a:p>
      </xdr:txBody>
    </xdr:sp>
    <xdr:clientData/>
  </xdr:twoCellAnchor>
  <xdr:twoCellAnchor>
    <xdr:from>
      <xdr:col>40</xdr:col>
      <xdr:colOff>47625</xdr:colOff>
      <xdr:row>7</xdr:row>
      <xdr:rowOff>28575</xdr:rowOff>
    </xdr:from>
    <xdr:to>
      <xdr:col>53</xdr:col>
      <xdr:colOff>171450</xdr:colOff>
      <xdr:row>8</xdr:row>
      <xdr:rowOff>266700</xdr:rowOff>
    </xdr:to>
    <xdr:sp macro="" textlink="">
      <xdr:nvSpPr>
        <xdr:cNvPr id="1127" name="テキスト 103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SpPr txBox="1">
          <a:spLocks noChangeArrowheads="1"/>
        </xdr:cNvSpPr>
      </xdr:nvSpPr>
      <xdr:spPr bwMode="auto">
        <a:xfrm>
          <a:off x="8343900" y="1628775"/>
          <a:ext cx="2085975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品質チェック項目</a:t>
          </a:r>
        </a:p>
      </xdr:txBody>
    </xdr:sp>
    <xdr:clientData/>
  </xdr:twoCellAnchor>
  <xdr:twoCellAnchor>
    <xdr:from>
      <xdr:col>35</xdr:col>
      <xdr:colOff>47625</xdr:colOff>
      <xdr:row>9</xdr:row>
      <xdr:rowOff>0</xdr:rowOff>
    </xdr:from>
    <xdr:to>
      <xdr:col>58</xdr:col>
      <xdr:colOff>0</xdr:colOff>
      <xdr:row>9</xdr:row>
      <xdr:rowOff>0</xdr:rowOff>
    </xdr:to>
    <xdr:sp macro="" textlink="">
      <xdr:nvSpPr>
        <xdr:cNvPr id="23446" name="Line 104">
          <a:extLst>
            <a:ext uri="{FF2B5EF4-FFF2-40B4-BE49-F238E27FC236}">
              <a16:creationId xmlns:a16="http://schemas.microsoft.com/office/drawing/2014/main" id="{00000000-0008-0000-0000-0000965B0000}"/>
            </a:ext>
          </a:extLst>
        </xdr:cNvPr>
        <xdr:cNvSpPr>
          <a:spLocks noChangeShapeType="1"/>
        </xdr:cNvSpPr>
      </xdr:nvSpPr>
      <xdr:spPr bwMode="auto">
        <a:xfrm>
          <a:off x="7581900" y="1971675"/>
          <a:ext cx="3467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8</xdr:row>
      <xdr:rowOff>0</xdr:rowOff>
    </xdr:from>
    <xdr:to>
      <xdr:col>31</xdr:col>
      <xdr:colOff>28575</xdr:colOff>
      <xdr:row>9</xdr:row>
      <xdr:rowOff>0</xdr:rowOff>
    </xdr:to>
    <xdr:sp macro="" textlink="">
      <xdr:nvSpPr>
        <xdr:cNvPr id="23447" name="Rectangle 108">
          <a:extLst>
            <a:ext uri="{FF2B5EF4-FFF2-40B4-BE49-F238E27FC236}">
              <a16:creationId xmlns:a16="http://schemas.microsoft.com/office/drawing/2014/main" id="{00000000-0008-0000-0000-0000975B0000}"/>
            </a:ext>
          </a:extLst>
        </xdr:cNvPr>
        <xdr:cNvSpPr>
          <a:spLocks noChangeArrowheads="1"/>
        </xdr:cNvSpPr>
      </xdr:nvSpPr>
      <xdr:spPr bwMode="auto">
        <a:xfrm>
          <a:off x="3190875" y="1685925"/>
          <a:ext cx="3533775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0</xdr:colOff>
      <xdr:row>8</xdr:row>
      <xdr:rowOff>0</xdr:rowOff>
    </xdr:from>
    <xdr:to>
      <xdr:col>18</xdr:col>
      <xdr:colOff>0</xdr:colOff>
      <xdr:row>9</xdr:row>
      <xdr:rowOff>0</xdr:rowOff>
    </xdr:to>
    <xdr:sp macro="" textlink="">
      <xdr:nvSpPr>
        <xdr:cNvPr id="23448" name="Line 109">
          <a:extLst>
            <a:ext uri="{FF2B5EF4-FFF2-40B4-BE49-F238E27FC236}">
              <a16:creationId xmlns:a16="http://schemas.microsoft.com/office/drawing/2014/main" id="{00000000-0008-0000-0000-0000985B0000}"/>
            </a:ext>
          </a:extLst>
        </xdr:cNvPr>
        <xdr:cNvSpPr>
          <a:spLocks noChangeShapeType="1"/>
        </xdr:cNvSpPr>
      </xdr:nvSpPr>
      <xdr:spPr bwMode="auto">
        <a:xfrm>
          <a:off x="3848100" y="1685925"/>
          <a:ext cx="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8</xdr:row>
      <xdr:rowOff>0</xdr:rowOff>
    </xdr:from>
    <xdr:to>
      <xdr:col>23</xdr:col>
      <xdr:colOff>0</xdr:colOff>
      <xdr:row>9</xdr:row>
      <xdr:rowOff>0</xdr:rowOff>
    </xdr:to>
    <xdr:sp macro="" textlink="">
      <xdr:nvSpPr>
        <xdr:cNvPr id="23449" name="Line 110">
          <a:extLst>
            <a:ext uri="{FF2B5EF4-FFF2-40B4-BE49-F238E27FC236}">
              <a16:creationId xmlns:a16="http://schemas.microsoft.com/office/drawing/2014/main" id="{00000000-0008-0000-0000-0000995B0000}"/>
            </a:ext>
          </a:extLst>
        </xdr:cNvPr>
        <xdr:cNvSpPr>
          <a:spLocks noChangeShapeType="1"/>
        </xdr:cNvSpPr>
      </xdr:nvSpPr>
      <xdr:spPr bwMode="auto">
        <a:xfrm>
          <a:off x="4943475" y="1685925"/>
          <a:ext cx="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8</xdr:row>
      <xdr:rowOff>0</xdr:rowOff>
    </xdr:from>
    <xdr:to>
      <xdr:col>26</xdr:col>
      <xdr:colOff>0</xdr:colOff>
      <xdr:row>9</xdr:row>
      <xdr:rowOff>0</xdr:rowOff>
    </xdr:to>
    <xdr:sp macro="" textlink="">
      <xdr:nvSpPr>
        <xdr:cNvPr id="23450" name="Line 111">
          <a:extLst>
            <a:ext uri="{FF2B5EF4-FFF2-40B4-BE49-F238E27FC236}">
              <a16:creationId xmlns:a16="http://schemas.microsoft.com/office/drawing/2014/main" id="{00000000-0008-0000-0000-00009A5B0000}"/>
            </a:ext>
          </a:extLst>
        </xdr:cNvPr>
        <xdr:cNvSpPr>
          <a:spLocks noChangeShapeType="1"/>
        </xdr:cNvSpPr>
      </xdr:nvSpPr>
      <xdr:spPr bwMode="auto">
        <a:xfrm>
          <a:off x="5600700" y="1685925"/>
          <a:ext cx="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9</xdr:row>
      <xdr:rowOff>85725</xdr:rowOff>
    </xdr:from>
    <xdr:to>
      <xdr:col>45</xdr:col>
      <xdr:colOff>123825</xdr:colOff>
      <xdr:row>11</xdr:row>
      <xdr:rowOff>28575</xdr:rowOff>
    </xdr:to>
    <xdr:sp macro="" textlink="">
      <xdr:nvSpPr>
        <xdr:cNvPr id="1145" name="テキスト 121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SpPr txBox="1">
          <a:spLocks noChangeArrowheads="1"/>
        </xdr:cNvSpPr>
      </xdr:nvSpPr>
      <xdr:spPr bwMode="auto">
        <a:xfrm>
          <a:off x="8601075" y="2057400"/>
          <a:ext cx="581025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測定具</a:t>
          </a:r>
        </a:p>
      </xdr:txBody>
    </xdr:sp>
    <xdr:clientData/>
  </xdr:twoCellAnchor>
  <xdr:twoCellAnchor>
    <xdr:from>
      <xdr:col>48</xdr:col>
      <xdr:colOff>66675</xdr:colOff>
      <xdr:row>9</xdr:row>
      <xdr:rowOff>28575</xdr:rowOff>
    </xdr:from>
    <xdr:to>
      <xdr:col>52</xdr:col>
      <xdr:colOff>142875</xdr:colOff>
      <xdr:row>11</xdr:row>
      <xdr:rowOff>133350</xdr:rowOff>
    </xdr:to>
    <xdr:grpSp>
      <xdr:nvGrpSpPr>
        <xdr:cNvPr id="23452" name="Group 130">
          <a:extLst>
            <a:ext uri="{FF2B5EF4-FFF2-40B4-BE49-F238E27FC236}">
              <a16:creationId xmlns:a16="http://schemas.microsoft.com/office/drawing/2014/main" id="{00000000-0008-0000-0000-00009C5B0000}"/>
            </a:ext>
          </a:extLst>
        </xdr:cNvPr>
        <xdr:cNvGrpSpPr>
          <a:grpSpLocks/>
        </xdr:cNvGrpSpPr>
      </xdr:nvGrpSpPr>
      <xdr:grpSpPr bwMode="auto">
        <a:xfrm>
          <a:off x="9582150" y="2000250"/>
          <a:ext cx="685800" cy="447675"/>
          <a:chOff x="-3317" y="-180"/>
          <a:chExt cx="22464" cy="235"/>
        </a:xfrm>
      </xdr:grpSpPr>
      <xdr:sp macro="" textlink="">
        <xdr:nvSpPr>
          <xdr:cNvPr id="1141" name="テキスト 117">
            <a:extLst>
              <a:ext uri="{FF2B5EF4-FFF2-40B4-BE49-F238E27FC236}">
                <a16:creationId xmlns:a16="http://schemas.microsoft.com/office/drawing/2014/main" id="{00000000-0008-0000-0000-000075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317" y="-180"/>
            <a:ext cx="21840" cy="125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管理規格</a:t>
            </a:r>
          </a:p>
        </xdr:txBody>
      </xdr:sp>
      <xdr:sp macro="" textlink="">
        <xdr:nvSpPr>
          <xdr:cNvPr id="1146" name="テキスト 122">
            <a:extLst>
              <a:ext uri="{FF2B5EF4-FFF2-40B4-BE49-F238E27FC236}">
                <a16:creationId xmlns:a16="http://schemas.microsoft.com/office/drawing/2014/main" id="{00000000-0008-0000-0000-00007A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317" y="-70"/>
            <a:ext cx="22464" cy="125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通常定期</a:t>
            </a:r>
          </a:p>
        </xdr:txBody>
      </xdr:sp>
    </xdr:grpSp>
    <xdr:clientData/>
  </xdr:twoCellAnchor>
  <xdr:twoCellAnchor>
    <xdr:from>
      <xdr:col>56</xdr:col>
      <xdr:colOff>133350</xdr:colOff>
      <xdr:row>8</xdr:row>
      <xdr:rowOff>247650</xdr:rowOff>
    </xdr:from>
    <xdr:to>
      <xdr:col>58</xdr:col>
      <xdr:colOff>0</xdr:colOff>
      <xdr:row>12</xdr:row>
      <xdr:rowOff>76200</xdr:rowOff>
    </xdr:to>
    <xdr:sp macro="" textlink="">
      <xdr:nvSpPr>
        <xdr:cNvPr id="1137" name="テキスト 113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 txBox="1">
          <a:spLocks noChangeArrowheads="1"/>
        </xdr:cNvSpPr>
      </xdr:nvSpPr>
      <xdr:spPr bwMode="auto">
        <a:xfrm>
          <a:off x="10868025" y="1933575"/>
          <a:ext cx="180975" cy="600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vert="wordArtVertRtl" wrap="square" lIns="27432" tIns="0" rIns="0" bIns="0" anchor="b" upright="1"/>
        <a:lstStyle/>
        <a:p>
          <a:pPr algn="ctr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測定者</a:t>
          </a:r>
        </a:p>
      </xdr:txBody>
    </xdr:sp>
    <xdr:clientData/>
  </xdr:twoCellAnchor>
  <xdr:twoCellAnchor>
    <xdr:from>
      <xdr:col>55</xdr:col>
      <xdr:colOff>38100</xdr:colOff>
      <xdr:row>9</xdr:row>
      <xdr:rowOff>19050</xdr:rowOff>
    </xdr:from>
    <xdr:to>
      <xdr:col>56</xdr:col>
      <xdr:colOff>104775</xdr:colOff>
      <xdr:row>12</xdr:row>
      <xdr:rowOff>9525</xdr:rowOff>
    </xdr:to>
    <xdr:sp macro="" textlink="">
      <xdr:nvSpPr>
        <xdr:cNvPr id="1139" name="テキスト 115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SpPr txBox="1">
          <a:spLocks noChangeArrowheads="1"/>
        </xdr:cNvSpPr>
      </xdr:nvSpPr>
      <xdr:spPr bwMode="auto">
        <a:xfrm>
          <a:off x="10620375" y="1990725"/>
          <a:ext cx="219075" cy="476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vert="wordArtVertRtl" wrap="square" lIns="27432" tIns="0" rIns="0" bIns="0" anchor="b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記録</a:t>
          </a:r>
        </a:p>
      </xdr:txBody>
    </xdr:sp>
    <xdr:clientData/>
  </xdr:twoCellAnchor>
  <xdr:twoCellAnchor>
    <xdr:from>
      <xdr:col>53</xdr:col>
      <xdr:colOff>47625</xdr:colOff>
      <xdr:row>9</xdr:row>
      <xdr:rowOff>19050</xdr:rowOff>
    </xdr:from>
    <xdr:to>
      <xdr:col>54</xdr:col>
      <xdr:colOff>104775</xdr:colOff>
      <xdr:row>12</xdr:row>
      <xdr:rowOff>19050</xdr:rowOff>
    </xdr:to>
    <xdr:sp macro="" textlink="">
      <xdr:nvSpPr>
        <xdr:cNvPr id="1140" name="テキスト 116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 txBox="1">
          <a:spLocks noChangeArrowheads="1"/>
        </xdr:cNvSpPr>
      </xdr:nvSpPr>
      <xdr:spPr bwMode="auto">
        <a:xfrm>
          <a:off x="10325100" y="1990725"/>
          <a:ext cx="209550" cy="4857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vert="wordArtVertRtl" wrap="square" lIns="27432" tIns="0" rIns="0" bIns="0" anchor="b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終物</a:t>
          </a:r>
        </a:p>
      </xdr:txBody>
    </xdr:sp>
    <xdr:clientData/>
  </xdr:twoCellAnchor>
  <xdr:twoCellAnchor>
    <xdr:from>
      <xdr:col>46</xdr:col>
      <xdr:colOff>38100</xdr:colOff>
      <xdr:row>9</xdr:row>
      <xdr:rowOff>19050</xdr:rowOff>
    </xdr:from>
    <xdr:to>
      <xdr:col>47</xdr:col>
      <xdr:colOff>104775</xdr:colOff>
      <xdr:row>12</xdr:row>
      <xdr:rowOff>28575</xdr:rowOff>
    </xdr:to>
    <xdr:sp macro="" textlink="">
      <xdr:nvSpPr>
        <xdr:cNvPr id="1147" name="テキスト 123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SpPr txBox="1">
          <a:spLocks noChangeArrowheads="1"/>
        </xdr:cNvSpPr>
      </xdr:nvSpPr>
      <xdr:spPr bwMode="auto">
        <a:xfrm>
          <a:off x="9248775" y="1990725"/>
          <a:ext cx="219075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vert="wordArtVertRtl" wrap="square" lIns="27432" tIns="0" rIns="0" bIns="0" anchor="b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初物</a:t>
          </a:r>
        </a:p>
      </xdr:txBody>
    </xdr:sp>
    <xdr:clientData/>
  </xdr:twoCellAnchor>
  <xdr:oneCellAnchor>
    <xdr:from>
      <xdr:col>37</xdr:col>
      <xdr:colOff>104775</xdr:colOff>
      <xdr:row>9</xdr:row>
      <xdr:rowOff>62471</xdr:rowOff>
    </xdr:from>
    <xdr:ext cx="436914" cy="370358"/>
    <xdr:sp macro="" textlink="">
      <xdr:nvSpPr>
        <xdr:cNvPr id="17939" name="テキスト 124">
          <a:extLst>
            <a:ext uri="{FF2B5EF4-FFF2-40B4-BE49-F238E27FC236}">
              <a16:creationId xmlns:a16="http://schemas.microsoft.com/office/drawing/2014/main" id="{00000000-0008-0000-0000-000013460000}"/>
            </a:ext>
          </a:extLst>
        </xdr:cNvPr>
        <xdr:cNvSpPr txBox="1">
          <a:spLocks noChangeArrowheads="1"/>
        </xdr:cNvSpPr>
      </xdr:nvSpPr>
      <xdr:spPr bwMode="auto">
        <a:xfrm>
          <a:off x="7943850" y="2034146"/>
          <a:ext cx="436914" cy="370358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wrap="none" lIns="27432" tIns="18288" rIns="0" bIns="18288" anchor="ctr" upright="1">
          <a:spAutoFit/>
        </a:bodyPr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チェック</a:t>
          </a:r>
        </a:p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時   期</a:t>
          </a:r>
        </a:p>
      </xdr:txBody>
    </xdr:sp>
    <xdr:clientData/>
  </xdr:oneCellAnchor>
  <xdr:twoCellAnchor>
    <xdr:from>
      <xdr:col>35</xdr:col>
      <xdr:colOff>47625</xdr:colOff>
      <xdr:row>9</xdr:row>
      <xdr:rowOff>76200</xdr:rowOff>
    </xdr:from>
    <xdr:to>
      <xdr:col>37</xdr:col>
      <xdr:colOff>85725</xdr:colOff>
      <xdr:row>11</xdr:row>
      <xdr:rowOff>85725</xdr:rowOff>
    </xdr:to>
    <xdr:sp macro="" textlink="">
      <xdr:nvSpPr>
        <xdr:cNvPr id="1149" name="テキスト 125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SpPr txBox="1">
          <a:spLocks noChangeArrowheads="1"/>
        </xdr:cNvSpPr>
      </xdr:nvSpPr>
      <xdr:spPr bwMode="auto">
        <a:xfrm>
          <a:off x="7581900" y="2047875"/>
          <a:ext cx="342900" cy="352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検査</a:t>
          </a:r>
        </a:p>
        <a:p>
          <a:pPr algn="l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箇所</a:t>
          </a:r>
        </a:p>
      </xdr:txBody>
    </xdr:sp>
    <xdr:clientData/>
  </xdr:twoCellAnchor>
  <xdr:twoCellAnchor>
    <xdr:from>
      <xdr:col>35</xdr:col>
      <xdr:colOff>47625</xdr:colOff>
      <xdr:row>12</xdr:row>
      <xdr:rowOff>0</xdr:rowOff>
    </xdr:from>
    <xdr:to>
      <xdr:col>57</xdr:col>
      <xdr:colOff>152400</xdr:colOff>
      <xdr:row>12</xdr:row>
      <xdr:rowOff>0</xdr:rowOff>
    </xdr:to>
    <xdr:sp macro="" textlink="">
      <xdr:nvSpPr>
        <xdr:cNvPr id="23459" name="Line 148">
          <a:extLst>
            <a:ext uri="{FF2B5EF4-FFF2-40B4-BE49-F238E27FC236}">
              <a16:creationId xmlns:a16="http://schemas.microsoft.com/office/drawing/2014/main" id="{00000000-0008-0000-0000-0000A35B0000}"/>
            </a:ext>
          </a:extLst>
        </xdr:cNvPr>
        <xdr:cNvSpPr>
          <a:spLocks noChangeShapeType="1"/>
        </xdr:cNvSpPr>
      </xdr:nvSpPr>
      <xdr:spPr bwMode="auto">
        <a:xfrm>
          <a:off x="7581900" y="2457450"/>
          <a:ext cx="34575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47625</xdr:colOff>
      <xdr:row>14</xdr:row>
      <xdr:rowOff>0</xdr:rowOff>
    </xdr:from>
    <xdr:to>
      <xdr:col>58</xdr:col>
      <xdr:colOff>0</xdr:colOff>
      <xdr:row>14</xdr:row>
      <xdr:rowOff>0</xdr:rowOff>
    </xdr:to>
    <xdr:sp macro="" textlink="">
      <xdr:nvSpPr>
        <xdr:cNvPr id="23460" name="Line 150">
          <a:extLst>
            <a:ext uri="{FF2B5EF4-FFF2-40B4-BE49-F238E27FC236}">
              <a16:creationId xmlns:a16="http://schemas.microsoft.com/office/drawing/2014/main" id="{00000000-0008-0000-0000-0000A45B0000}"/>
            </a:ext>
          </a:extLst>
        </xdr:cNvPr>
        <xdr:cNvSpPr>
          <a:spLocks noChangeShapeType="1"/>
        </xdr:cNvSpPr>
      </xdr:nvSpPr>
      <xdr:spPr bwMode="auto">
        <a:xfrm>
          <a:off x="7581900" y="2876550"/>
          <a:ext cx="34671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47625</xdr:colOff>
      <xdr:row>16</xdr:row>
      <xdr:rowOff>0</xdr:rowOff>
    </xdr:from>
    <xdr:to>
      <xdr:col>58</xdr:col>
      <xdr:colOff>0</xdr:colOff>
      <xdr:row>16</xdr:row>
      <xdr:rowOff>0</xdr:rowOff>
    </xdr:to>
    <xdr:sp macro="" textlink="">
      <xdr:nvSpPr>
        <xdr:cNvPr id="23461" name="Line 151">
          <a:extLst>
            <a:ext uri="{FF2B5EF4-FFF2-40B4-BE49-F238E27FC236}">
              <a16:creationId xmlns:a16="http://schemas.microsoft.com/office/drawing/2014/main" id="{00000000-0008-0000-0000-0000A55B0000}"/>
            </a:ext>
          </a:extLst>
        </xdr:cNvPr>
        <xdr:cNvSpPr>
          <a:spLocks noChangeShapeType="1"/>
        </xdr:cNvSpPr>
      </xdr:nvSpPr>
      <xdr:spPr bwMode="auto">
        <a:xfrm>
          <a:off x="7581900" y="3295650"/>
          <a:ext cx="34671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47625</xdr:colOff>
      <xdr:row>18</xdr:row>
      <xdr:rowOff>0</xdr:rowOff>
    </xdr:from>
    <xdr:to>
      <xdr:col>58</xdr:col>
      <xdr:colOff>0</xdr:colOff>
      <xdr:row>18</xdr:row>
      <xdr:rowOff>0</xdr:rowOff>
    </xdr:to>
    <xdr:sp macro="" textlink="">
      <xdr:nvSpPr>
        <xdr:cNvPr id="23462" name="Line 152">
          <a:extLst>
            <a:ext uri="{FF2B5EF4-FFF2-40B4-BE49-F238E27FC236}">
              <a16:creationId xmlns:a16="http://schemas.microsoft.com/office/drawing/2014/main" id="{00000000-0008-0000-0000-0000A65B0000}"/>
            </a:ext>
          </a:extLst>
        </xdr:cNvPr>
        <xdr:cNvSpPr>
          <a:spLocks noChangeShapeType="1"/>
        </xdr:cNvSpPr>
      </xdr:nvSpPr>
      <xdr:spPr bwMode="auto">
        <a:xfrm>
          <a:off x="7581900" y="3714750"/>
          <a:ext cx="34671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66675</xdr:colOff>
      <xdr:row>12</xdr:row>
      <xdr:rowOff>47625</xdr:rowOff>
    </xdr:from>
    <xdr:to>
      <xdr:col>37</xdr:col>
      <xdr:colOff>0</xdr:colOff>
      <xdr:row>13</xdr:row>
      <xdr:rowOff>123825</xdr:rowOff>
    </xdr:to>
    <xdr:sp macro="" textlink="">
      <xdr:nvSpPr>
        <xdr:cNvPr id="1173" name="テキスト 149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 txBox="1">
          <a:spLocks noChangeArrowheads="1"/>
        </xdr:cNvSpPr>
      </xdr:nvSpPr>
      <xdr:spPr bwMode="auto">
        <a:xfrm>
          <a:off x="7600950" y="2505075"/>
          <a:ext cx="238125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①</a:t>
          </a:r>
        </a:p>
      </xdr:txBody>
    </xdr:sp>
    <xdr:clientData/>
  </xdr:twoCellAnchor>
  <xdr:twoCellAnchor>
    <xdr:from>
      <xdr:col>35</xdr:col>
      <xdr:colOff>66675</xdr:colOff>
      <xdr:row>14</xdr:row>
      <xdr:rowOff>57150</xdr:rowOff>
    </xdr:from>
    <xdr:to>
      <xdr:col>37</xdr:col>
      <xdr:colOff>0</xdr:colOff>
      <xdr:row>15</xdr:row>
      <xdr:rowOff>123825</xdr:rowOff>
    </xdr:to>
    <xdr:sp macro="" textlink="">
      <xdr:nvSpPr>
        <xdr:cNvPr id="1179" name="テキスト 155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 txBox="1">
          <a:spLocks noChangeArrowheads="1"/>
        </xdr:cNvSpPr>
      </xdr:nvSpPr>
      <xdr:spPr bwMode="auto">
        <a:xfrm>
          <a:off x="7600950" y="2933700"/>
          <a:ext cx="238125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②</a:t>
          </a:r>
        </a:p>
      </xdr:txBody>
    </xdr:sp>
    <xdr:clientData/>
  </xdr:twoCellAnchor>
  <xdr:twoCellAnchor>
    <xdr:from>
      <xdr:col>35</xdr:col>
      <xdr:colOff>66675</xdr:colOff>
      <xdr:row>16</xdr:row>
      <xdr:rowOff>66675</xdr:rowOff>
    </xdr:from>
    <xdr:to>
      <xdr:col>37</xdr:col>
      <xdr:colOff>0</xdr:colOff>
      <xdr:row>17</xdr:row>
      <xdr:rowOff>133350</xdr:rowOff>
    </xdr:to>
    <xdr:sp macro="" textlink="">
      <xdr:nvSpPr>
        <xdr:cNvPr id="1180" name="テキスト 156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 txBox="1">
          <a:spLocks noChangeArrowheads="1"/>
        </xdr:cNvSpPr>
      </xdr:nvSpPr>
      <xdr:spPr bwMode="auto">
        <a:xfrm>
          <a:off x="7600950" y="3362325"/>
          <a:ext cx="238125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③</a:t>
          </a:r>
        </a:p>
      </xdr:txBody>
    </xdr:sp>
    <xdr:clientData/>
  </xdr:twoCellAnchor>
  <xdr:twoCellAnchor>
    <xdr:from>
      <xdr:col>35</xdr:col>
      <xdr:colOff>66675</xdr:colOff>
      <xdr:row>18</xdr:row>
      <xdr:rowOff>76200</xdr:rowOff>
    </xdr:from>
    <xdr:to>
      <xdr:col>37</xdr:col>
      <xdr:colOff>0</xdr:colOff>
      <xdr:row>19</xdr:row>
      <xdr:rowOff>142875</xdr:rowOff>
    </xdr:to>
    <xdr:sp macro="" textlink="">
      <xdr:nvSpPr>
        <xdr:cNvPr id="1181" name="テキスト 157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 txBox="1">
          <a:spLocks noChangeArrowheads="1"/>
        </xdr:cNvSpPr>
      </xdr:nvSpPr>
      <xdr:spPr bwMode="auto">
        <a:xfrm>
          <a:off x="7600950" y="3790950"/>
          <a:ext cx="238125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④</a:t>
          </a:r>
        </a:p>
      </xdr:txBody>
    </xdr:sp>
    <xdr:clientData/>
  </xdr:twoCellAnchor>
  <xdr:twoCellAnchor>
    <xdr:from>
      <xdr:col>37</xdr:col>
      <xdr:colOff>0</xdr:colOff>
      <xdr:row>13</xdr:row>
      <xdr:rowOff>0</xdr:rowOff>
    </xdr:from>
    <xdr:to>
      <xdr:col>58</xdr:col>
      <xdr:colOff>0</xdr:colOff>
      <xdr:row>13</xdr:row>
      <xdr:rowOff>0</xdr:rowOff>
    </xdr:to>
    <xdr:sp macro="" textlink="">
      <xdr:nvSpPr>
        <xdr:cNvPr id="23467" name="Line 168">
          <a:extLst>
            <a:ext uri="{FF2B5EF4-FFF2-40B4-BE49-F238E27FC236}">
              <a16:creationId xmlns:a16="http://schemas.microsoft.com/office/drawing/2014/main" id="{00000000-0008-0000-0000-0000AB5B0000}"/>
            </a:ext>
          </a:extLst>
        </xdr:cNvPr>
        <xdr:cNvSpPr>
          <a:spLocks noChangeShapeType="1"/>
        </xdr:cNvSpPr>
      </xdr:nvSpPr>
      <xdr:spPr bwMode="auto">
        <a:xfrm>
          <a:off x="7839075" y="266700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15</xdr:row>
      <xdr:rowOff>0</xdr:rowOff>
    </xdr:from>
    <xdr:to>
      <xdr:col>57</xdr:col>
      <xdr:colOff>219075</xdr:colOff>
      <xdr:row>15</xdr:row>
      <xdr:rowOff>0</xdr:rowOff>
    </xdr:to>
    <xdr:sp macro="" textlink="">
      <xdr:nvSpPr>
        <xdr:cNvPr id="23468" name="Line 170">
          <a:extLst>
            <a:ext uri="{FF2B5EF4-FFF2-40B4-BE49-F238E27FC236}">
              <a16:creationId xmlns:a16="http://schemas.microsoft.com/office/drawing/2014/main" id="{00000000-0008-0000-0000-0000AC5B0000}"/>
            </a:ext>
          </a:extLst>
        </xdr:cNvPr>
        <xdr:cNvSpPr>
          <a:spLocks noChangeShapeType="1"/>
        </xdr:cNvSpPr>
      </xdr:nvSpPr>
      <xdr:spPr bwMode="auto">
        <a:xfrm>
          <a:off x="7839075" y="308610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17</xdr:row>
      <xdr:rowOff>0</xdr:rowOff>
    </xdr:from>
    <xdr:to>
      <xdr:col>57</xdr:col>
      <xdr:colOff>219075</xdr:colOff>
      <xdr:row>17</xdr:row>
      <xdr:rowOff>0</xdr:rowOff>
    </xdr:to>
    <xdr:sp macro="" textlink="">
      <xdr:nvSpPr>
        <xdr:cNvPr id="23469" name="Line 171">
          <a:extLst>
            <a:ext uri="{FF2B5EF4-FFF2-40B4-BE49-F238E27FC236}">
              <a16:creationId xmlns:a16="http://schemas.microsoft.com/office/drawing/2014/main" id="{00000000-0008-0000-0000-0000AD5B0000}"/>
            </a:ext>
          </a:extLst>
        </xdr:cNvPr>
        <xdr:cNvSpPr>
          <a:spLocks noChangeShapeType="1"/>
        </xdr:cNvSpPr>
      </xdr:nvSpPr>
      <xdr:spPr bwMode="auto">
        <a:xfrm>
          <a:off x="7839075" y="350520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19</xdr:row>
      <xdr:rowOff>0</xdr:rowOff>
    </xdr:from>
    <xdr:to>
      <xdr:col>57</xdr:col>
      <xdr:colOff>219075</xdr:colOff>
      <xdr:row>19</xdr:row>
      <xdr:rowOff>0</xdr:rowOff>
    </xdr:to>
    <xdr:sp macro="" textlink="">
      <xdr:nvSpPr>
        <xdr:cNvPr id="23470" name="Line 172">
          <a:extLst>
            <a:ext uri="{FF2B5EF4-FFF2-40B4-BE49-F238E27FC236}">
              <a16:creationId xmlns:a16="http://schemas.microsoft.com/office/drawing/2014/main" id="{00000000-0008-0000-0000-0000AE5B0000}"/>
            </a:ext>
          </a:extLst>
        </xdr:cNvPr>
        <xdr:cNvSpPr>
          <a:spLocks noChangeShapeType="1"/>
        </xdr:cNvSpPr>
      </xdr:nvSpPr>
      <xdr:spPr bwMode="auto">
        <a:xfrm>
          <a:off x="7839075" y="392430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19</xdr:row>
      <xdr:rowOff>0</xdr:rowOff>
    </xdr:from>
    <xdr:to>
      <xdr:col>48</xdr:col>
      <xdr:colOff>0</xdr:colOff>
      <xdr:row>20</xdr:row>
      <xdr:rowOff>9525</xdr:rowOff>
    </xdr:to>
    <xdr:sp macro="" textlink="">
      <xdr:nvSpPr>
        <xdr:cNvPr id="23471" name="Line 185">
          <a:extLst>
            <a:ext uri="{FF2B5EF4-FFF2-40B4-BE49-F238E27FC236}">
              <a16:creationId xmlns:a16="http://schemas.microsoft.com/office/drawing/2014/main" id="{00000000-0008-0000-0000-0000AF5B0000}"/>
            </a:ext>
          </a:extLst>
        </xdr:cNvPr>
        <xdr:cNvSpPr>
          <a:spLocks noChangeShapeType="1"/>
        </xdr:cNvSpPr>
      </xdr:nvSpPr>
      <xdr:spPr bwMode="auto">
        <a:xfrm>
          <a:off x="9210675" y="3924300"/>
          <a:ext cx="304800" cy="2190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19</xdr:row>
      <xdr:rowOff>0</xdr:rowOff>
    </xdr:from>
    <xdr:to>
      <xdr:col>55</xdr:col>
      <xdr:colOff>0</xdr:colOff>
      <xdr:row>20</xdr:row>
      <xdr:rowOff>0</xdr:rowOff>
    </xdr:to>
    <xdr:sp macro="" textlink="">
      <xdr:nvSpPr>
        <xdr:cNvPr id="23472" name="Line 346">
          <a:extLst>
            <a:ext uri="{FF2B5EF4-FFF2-40B4-BE49-F238E27FC236}">
              <a16:creationId xmlns:a16="http://schemas.microsoft.com/office/drawing/2014/main" id="{00000000-0008-0000-0000-0000B05B0000}"/>
            </a:ext>
          </a:extLst>
        </xdr:cNvPr>
        <xdr:cNvSpPr>
          <a:spLocks noChangeShapeType="1"/>
        </xdr:cNvSpPr>
      </xdr:nvSpPr>
      <xdr:spPr bwMode="auto">
        <a:xfrm>
          <a:off x="10277475" y="3924300"/>
          <a:ext cx="304800" cy="2095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0</xdr:colOff>
      <xdr:row>19</xdr:row>
      <xdr:rowOff>0</xdr:rowOff>
    </xdr:from>
    <xdr:to>
      <xdr:col>57</xdr:col>
      <xdr:colOff>0</xdr:colOff>
      <xdr:row>20</xdr:row>
      <xdr:rowOff>0</xdr:rowOff>
    </xdr:to>
    <xdr:sp macro="" textlink="">
      <xdr:nvSpPr>
        <xdr:cNvPr id="23473" name="Line 680">
          <a:extLst>
            <a:ext uri="{FF2B5EF4-FFF2-40B4-BE49-F238E27FC236}">
              <a16:creationId xmlns:a16="http://schemas.microsoft.com/office/drawing/2014/main" id="{00000000-0008-0000-0000-0000B15B0000}"/>
            </a:ext>
          </a:extLst>
        </xdr:cNvPr>
        <xdr:cNvSpPr>
          <a:spLocks noChangeShapeType="1"/>
        </xdr:cNvSpPr>
      </xdr:nvSpPr>
      <xdr:spPr bwMode="auto">
        <a:xfrm>
          <a:off x="10582275" y="3924300"/>
          <a:ext cx="304800" cy="2095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12</xdr:row>
      <xdr:rowOff>0</xdr:rowOff>
    </xdr:from>
    <xdr:to>
      <xdr:col>55</xdr:col>
      <xdr:colOff>0</xdr:colOff>
      <xdr:row>13</xdr:row>
      <xdr:rowOff>0</xdr:rowOff>
    </xdr:to>
    <xdr:sp macro="" textlink="">
      <xdr:nvSpPr>
        <xdr:cNvPr id="23474" name="Line 875">
          <a:extLst>
            <a:ext uri="{FF2B5EF4-FFF2-40B4-BE49-F238E27FC236}">
              <a16:creationId xmlns:a16="http://schemas.microsoft.com/office/drawing/2014/main" id="{00000000-0008-0000-0000-0000B25B0000}"/>
            </a:ext>
          </a:extLst>
        </xdr:cNvPr>
        <xdr:cNvSpPr>
          <a:spLocks noChangeShapeType="1"/>
        </xdr:cNvSpPr>
      </xdr:nvSpPr>
      <xdr:spPr bwMode="auto">
        <a:xfrm>
          <a:off x="10277475" y="2457450"/>
          <a:ext cx="304800" cy="2095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38100</xdr:colOff>
      <xdr:row>13</xdr:row>
      <xdr:rowOff>0</xdr:rowOff>
    </xdr:from>
    <xdr:to>
      <xdr:col>58</xdr:col>
      <xdr:colOff>0</xdr:colOff>
      <xdr:row>14</xdr:row>
      <xdr:rowOff>0</xdr:rowOff>
    </xdr:to>
    <xdr:sp macro="" textlink="">
      <xdr:nvSpPr>
        <xdr:cNvPr id="23475" name="Line 994">
          <a:extLst>
            <a:ext uri="{FF2B5EF4-FFF2-40B4-BE49-F238E27FC236}">
              <a16:creationId xmlns:a16="http://schemas.microsoft.com/office/drawing/2014/main" id="{00000000-0008-0000-0000-0000B35B0000}"/>
            </a:ext>
          </a:extLst>
        </xdr:cNvPr>
        <xdr:cNvSpPr>
          <a:spLocks noChangeShapeType="1"/>
        </xdr:cNvSpPr>
      </xdr:nvSpPr>
      <xdr:spPr bwMode="auto">
        <a:xfrm>
          <a:off x="8486775" y="2667000"/>
          <a:ext cx="2562225" cy="2095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190500</xdr:colOff>
      <xdr:row>9</xdr:row>
      <xdr:rowOff>123825</xdr:rowOff>
    </xdr:from>
    <xdr:to>
      <xdr:col>16</xdr:col>
      <xdr:colOff>161925</xdr:colOff>
      <xdr:row>11</xdr:row>
      <xdr:rowOff>123825</xdr:rowOff>
    </xdr:to>
    <xdr:sp macro="" textlink="" fLocksText="0">
      <xdr:nvSpPr>
        <xdr:cNvPr id="18054" name="テキスト 1002">
          <a:extLst>
            <a:ext uri="{FF2B5EF4-FFF2-40B4-BE49-F238E27FC236}">
              <a16:creationId xmlns:a16="http://schemas.microsoft.com/office/drawing/2014/main" id="{00000000-0008-0000-0000-000086460000}"/>
            </a:ext>
          </a:extLst>
        </xdr:cNvPr>
        <xdr:cNvSpPr txBox="1">
          <a:spLocks noChangeArrowheads="1"/>
        </xdr:cNvSpPr>
      </xdr:nvSpPr>
      <xdr:spPr bwMode="auto">
        <a:xfrm>
          <a:off x="3162300" y="2095500"/>
          <a:ext cx="409575" cy="342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②</a:t>
          </a:r>
        </a:p>
      </xdr:txBody>
    </xdr:sp>
    <xdr:clientData/>
  </xdr:twoCellAnchor>
  <xdr:twoCellAnchor>
    <xdr:from>
      <xdr:col>41</xdr:col>
      <xdr:colOff>47625</xdr:colOff>
      <xdr:row>14</xdr:row>
      <xdr:rowOff>0</xdr:rowOff>
    </xdr:from>
    <xdr:to>
      <xdr:col>45</xdr:col>
      <xdr:colOff>142875</xdr:colOff>
      <xdr:row>15</xdr:row>
      <xdr:rowOff>0</xdr:rowOff>
    </xdr:to>
    <xdr:sp macro="" textlink="">
      <xdr:nvSpPr>
        <xdr:cNvPr id="2033" name="micro_text1">
          <a:extLs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 txBox="1">
          <a:spLocks noChangeArrowheads="1"/>
        </xdr:cNvSpPr>
      </xdr:nvSpPr>
      <xdr:spPr bwMode="auto">
        <a:xfrm>
          <a:off x="8496300" y="2876550"/>
          <a:ext cx="704850" cy="2095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歯厚ﾏｲｸﾛ</a:t>
          </a:r>
        </a:p>
      </xdr:txBody>
    </xdr:sp>
    <xdr:clientData/>
  </xdr:twoCellAnchor>
  <xdr:twoCellAnchor editAs="oneCell">
    <xdr:from>
      <xdr:col>14</xdr:col>
      <xdr:colOff>209550</xdr:colOff>
      <xdr:row>16</xdr:row>
      <xdr:rowOff>47625</xdr:rowOff>
    </xdr:from>
    <xdr:to>
      <xdr:col>16</xdr:col>
      <xdr:colOff>152400</xdr:colOff>
      <xdr:row>18</xdr:row>
      <xdr:rowOff>0</xdr:rowOff>
    </xdr:to>
    <xdr:sp macro="" textlink="" fLocksText="0">
      <xdr:nvSpPr>
        <xdr:cNvPr id="18067" name="テキスト 1484">
          <a:extLst>
            <a:ext uri="{FF2B5EF4-FFF2-40B4-BE49-F238E27FC236}">
              <a16:creationId xmlns:a16="http://schemas.microsoft.com/office/drawing/2014/main" id="{00000000-0008-0000-0000-000093460000}"/>
            </a:ext>
          </a:extLst>
        </xdr:cNvPr>
        <xdr:cNvSpPr txBox="1">
          <a:spLocks noChangeArrowheads="1"/>
        </xdr:cNvSpPr>
      </xdr:nvSpPr>
      <xdr:spPr bwMode="auto">
        <a:xfrm>
          <a:off x="3181350" y="3343275"/>
          <a:ext cx="381000" cy="3714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0" bIns="22860" anchor="ctr" upright="1"/>
        <a:lstStyle/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③</a:t>
          </a:r>
        </a:p>
      </xdr:txBody>
    </xdr:sp>
    <xdr:clientData/>
  </xdr:twoCellAnchor>
  <xdr:twoCellAnchor>
    <xdr:from>
      <xdr:col>48</xdr:col>
      <xdr:colOff>0</xdr:colOff>
      <xdr:row>10</xdr:row>
      <xdr:rowOff>66675</xdr:rowOff>
    </xdr:from>
    <xdr:to>
      <xdr:col>53</xdr:col>
      <xdr:colOff>0</xdr:colOff>
      <xdr:row>10</xdr:row>
      <xdr:rowOff>66675</xdr:rowOff>
    </xdr:to>
    <xdr:sp macro="" textlink="">
      <xdr:nvSpPr>
        <xdr:cNvPr id="23479" name="Line 1516">
          <a:extLst>
            <a:ext uri="{FF2B5EF4-FFF2-40B4-BE49-F238E27FC236}">
              <a16:creationId xmlns:a16="http://schemas.microsoft.com/office/drawing/2014/main" id="{00000000-0008-0000-0000-0000B75B0000}"/>
            </a:ext>
          </a:extLst>
        </xdr:cNvPr>
        <xdr:cNvSpPr>
          <a:spLocks noChangeShapeType="1"/>
        </xdr:cNvSpPr>
      </xdr:nvSpPr>
      <xdr:spPr bwMode="auto">
        <a:xfrm>
          <a:off x="9515475" y="2209800"/>
          <a:ext cx="7620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104775</xdr:colOff>
      <xdr:row>12</xdr:row>
      <xdr:rowOff>66675</xdr:rowOff>
    </xdr:from>
    <xdr:to>
      <xdr:col>26</xdr:col>
      <xdr:colOff>123825</xdr:colOff>
      <xdr:row>14</xdr:row>
      <xdr:rowOff>76200</xdr:rowOff>
    </xdr:to>
    <xdr:sp macro="" textlink="入力ｼｰﾄ!$E$7" fLocksText="0">
      <xdr:nvSpPr>
        <xdr:cNvPr id="2028" name="text2">
          <a:extLs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 txBox="1">
          <a:spLocks noChangeArrowheads="1"/>
        </xdr:cNvSpPr>
      </xdr:nvSpPr>
      <xdr:spPr bwMode="auto">
        <a:xfrm>
          <a:off x="3514725" y="2524125"/>
          <a:ext cx="2209800" cy="428625"/>
        </a:xfrm>
        <a:prstGeom prst="rect">
          <a:avLst/>
        </a:prstGeom>
        <a:solidFill>
          <a:srgbClr val="FF9966"/>
        </a:solidFill>
        <a:ln w="0">
          <a:noFill/>
          <a:miter lim="800000"/>
          <a:headEnd/>
          <a:tailEnd/>
        </a:ln>
      </xdr:spPr>
      <xdr:txBody>
        <a:bodyPr/>
        <a:lstStyle/>
        <a:p>
          <a:fld id="{98271E7D-60D1-48B2-BDE5-3BAC84E291CB}" type="TxLink">
            <a:rPr lang="ja-JP" altLang="en-US" sz="2600" b="0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/>
            <a:t>27.86±0.01</a:t>
          </a:fld>
          <a:endParaRPr lang="ja-JP" altLang="en-US" sz="2600"/>
        </a:p>
      </xdr:txBody>
    </xdr:sp>
    <xdr:clientData/>
  </xdr:twoCellAnchor>
  <xdr:twoCellAnchor>
    <xdr:from>
      <xdr:col>22</xdr:col>
      <xdr:colOff>28575</xdr:colOff>
      <xdr:row>16</xdr:row>
      <xdr:rowOff>66675</xdr:rowOff>
    </xdr:from>
    <xdr:to>
      <xdr:col>28</xdr:col>
      <xdr:colOff>95250</xdr:colOff>
      <xdr:row>17</xdr:row>
      <xdr:rowOff>180975</xdr:rowOff>
    </xdr:to>
    <xdr:sp macro="" textlink="">
      <xdr:nvSpPr>
        <xdr:cNvPr id="23481" name="Rectangle 2155">
          <a:extLst>
            <a:ext uri="{FF2B5EF4-FFF2-40B4-BE49-F238E27FC236}">
              <a16:creationId xmlns:a16="http://schemas.microsoft.com/office/drawing/2014/main" id="{00000000-0008-0000-0000-0000B95B0000}"/>
            </a:ext>
          </a:extLst>
        </xdr:cNvPr>
        <xdr:cNvSpPr>
          <a:spLocks noChangeArrowheads="1"/>
        </xdr:cNvSpPr>
      </xdr:nvSpPr>
      <xdr:spPr bwMode="auto">
        <a:xfrm>
          <a:off x="4810125" y="3362325"/>
          <a:ext cx="1323975" cy="323850"/>
        </a:xfrm>
        <a:prstGeom prst="rect">
          <a:avLst/>
        </a:prstGeom>
        <a:solidFill>
          <a:srgbClr val="FF9966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104775</xdr:colOff>
      <xdr:row>16</xdr:row>
      <xdr:rowOff>38100</xdr:rowOff>
    </xdr:from>
    <xdr:to>
      <xdr:col>35</xdr:col>
      <xdr:colOff>9525</xdr:colOff>
      <xdr:row>18</xdr:row>
      <xdr:rowOff>38100</xdr:rowOff>
    </xdr:to>
    <xdr:sp macro="" textlink="" fLocksText="0">
      <xdr:nvSpPr>
        <xdr:cNvPr id="18188" name="textp1">
          <a:extLst>
            <a:ext uri="{FF2B5EF4-FFF2-40B4-BE49-F238E27FC236}">
              <a16:creationId xmlns:a16="http://schemas.microsoft.com/office/drawing/2014/main" id="{00000000-0008-0000-0000-00000C470000}"/>
            </a:ext>
          </a:extLst>
        </xdr:cNvPr>
        <xdr:cNvSpPr txBox="1">
          <a:spLocks noChangeArrowheads="1"/>
        </xdr:cNvSpPr>
      </xdr:nvSpPr>
      <xdr:spPr bwMode="auto">
        <a:xfrm>
          <a:off x="3514725" y="3333750"/>
          <a:ext cx="4029075" cy="4191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45720" tIns="27432" rIns="0" bIns="27432" anchor="ctr" upright="1"/>
        <a:lstStyle/>
        <a:p>
          <a:pPr algn="l" rtl="0">
            <a:defRPr sz="1000"/>
          </a:pPr>
          <a:r>
            <a:rPr lang="ja-JP" altLang="en-US" sz="2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ピッチ誤差    以下</a:t>
          </a:r>
        </a:p>
      </xdr:txBody>
    </xdr:sp>
    <xdr:clientData/>
  </xdr:twoCellAnchor>
  <xdr:twoCellAnchor>
    <xdr:from>
      <xdr:col>35</xdr:col>
      <xdr:colOff>47625</xdr:colOff>
      <xdr:row>20</xdr:row>
      <xdr:rowOff>0</xdr:rowOff>
    </xdr:from>
    <xdr:to>
      <xdr:col>58</xdr:col>
      <xdr:colOff>0</xdr:colOff>
      <xdr:row>20</xdr:row>
      <xdr:rowOff>0</xdr:rowOff>
    </xdr:to>
    <xdr:sp macro="" textlink="">
      <xdr:nvSpPr>
        <xdr:cNvPr id="23483" name="Line 153">
          <a:extLst>
            <a:ext uri="{FF2B5EF4-FFF2-40B4-BE49-F238E27FC236}">
              <a16:creationId xmlns:a16="http://schemas.microsoft.com/office/drawing/2014/main" id="{00000000-0008-0000-0000-0000BB5B0000}"/>
            </a:ext>
          </a:extLst>
        </xdr:cNvPr>
        <xdr:cNvSpPr>
          <a:spLocks noChangeShapeType="1"/>
        </xdr:cNvSpPr>
      </xdr:nvSpPr>
      <xdr:spPr bwMode="auto">
        <a:xfrm>
          <a:off x="7581900" y="4133850"/>
          <a:ext cx="34671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66675</xdr:colOff>
      <xdr:row>20</xdr:row>
      <xdr:rowOff>57150</xdr:rowOff>
    </xdr:from>
    <xdr:to>
      <xdr:col>37</xdr:col>
      <xdr:colOff>0</xdr:colOff>
      <xdr:row>21</xdr:row>
      <xdr:rowOff>133350</xdr:rowOff>
    </xdr:to>
    <xdr:sp macro="" textlink="">
      <xdr:nvSpPr>
        <xdr:cNvPr id="1182" name="テキスト 158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 txBox="1">
          <a:spLocks noChangeArrowheads="1"/>
        </xdr:cNvSpPr>
      </xdr:nvSpPr>
      <xdr:spPr bwMode="auto">
        <a:xfrm>
          <a:off x="7600950" y="4191000"/>
          <a:ext cx="238125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⑤</a:t>
          </a:r>
        </a:p>
      </xdr:txBody>
    </xdr:sp>
    <xdr:clientData/>
  </xdr:twoCellAnchor>
  <xdr:twoCellAnchor>
    <xdr:from>
      <xdr:col>35</xdr:col>
      <xdr:colOff>47625</xdr:colOff>
      <xdr:row>22</xdr:row>
      <xdr:rowOff>0</xdr:rowOff>
    </xdr:from>
    <xdr:to>
      <xdr:col>58</xdr:col>
      <xdr:colOff>0</xdr:colOff>
      <xdr:row>22</xdr:row>
      <xdr:rowOff>0</xdr:rowOff>
    </xdr:to>
    <xdr:sp macro="" textlink="">
      <xdr:nvSpPr>
        <xdr:cNvPr id="23485" name="Line 154">
          <a:extLst>
            <a:ext uri="{FF2B5EF4-FFF2-40B4-BE49-F238E27FC236}">
              <a16:creationId xmlns:a16="http://schemas.microsoft.com/office/drawing/2014/main" id="{00000000-0008-0000-0000-0000BD5B0000}"/>
            </a:ext>
          </a:extLst>
        </xdr:cNvPr>
        <xdr:cNvSpPr>
          <a:spLocks noChangeShapeType="1"/>
        </xdr:cNvSpPr>
      </xdr:nvSpPr>
      <xdr:spPr bwMode="auto">
        <a:xfrm>
          <a:off x="7581900" y="4552950"/>
          <a:ext cx="34671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0</xdr:colOff>
      <xdr:row>21</xdr:row>
      <xdr:rowOff>0</xdr:rowOff>
    </xdr:from>
    <xdr:to>
      <xdr:col>58</xdr:col>
      <xdr:colOff>0</xdr:colOff>
      <xdr:row>21</xdr:row>
      <xdr:rowOff>0</xdr:rowOff>
    </xdr:to>
    <xdr:sp macro="" textlink="">
      <xdr:nvSpPr>
        <xdr:cNvPr id="23486" name="Line 173">
          <a:extLst>
            <a:ext uri="{FF2B5EF4-FFF2-40B4-BE49-F238E27FC236}">
              <a16:creationId xmlns:a16="http://schemas.microsoft.com/office/drawing/2014/main" id="{00000000-0008-0000-0000-0000BE5B0000}"/>
            </a:ext>
          </a:extLst>
        </xdr:cNvPr>
        <xdr:cNvSpPr>
          <a:spLocks noChangeShapeType="1"/>
        </xdr:cNvSpPr>
      </xdr:nvSpPr>
      <xdr:spPr bwMode="auto">
        <a:xfrm>
          <a:off x="7839075" y="4343400"/>
          <a:ext cx="32099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28575</xdr:colOff>
      <xdr:row>19</xdr:row>
      <xdr:rowOff>190500</xdr:rowOff>
    </xdr:from>
    <xdr:to>
      <xdr:col>57</xdr:col>
      <xdr:colOff>28575</xdr:colOff>
      <xdr:row>21</xdr:row>
      <xdr:rowOff>28575</xdr:rowOff>
    </xdr:to>
    <xdr:grpSp>
      <xdr:nvGrpSpPr>
        <xdr:cNvPr id="23487" name="Group 9060">
          <a:extLst>
            <a:ext uri="{FF2B5EF4-FFF2-40B4-BE49-F238E27FC236}">
              <a16:creationId xmlns:a16="http://schemas.microsoft.com/office/drawing/2014/main" id="{00000000-0008-0000-0000-0000BF5B0000}"/>
            </a:ext>
          </a:extLst>
        </xdr:cNvPr>
        <xdr:cNvGrpSpPr>
          <a:grpSpLocks/>
        </xdr:cNvGrpSpPr>
      </xdr:nvGrpSpPr>
      <xdr:grpSpPr bwMode="auto">
        <a:xfrm>
          <a:off x="10610850" y="4114800"/>
          <a:ext cx="304800" cy="257175"/>
          <a:chOff x="1114" y="431"/>
          <a:chExt cx="32" cy="27"/>
        </a:xfrm>
      </xdr:grpSpPr>
      <xdr:sp macro="" textlink="">
        <xdr:nvSpPr>
          <xdr:cNvPr id="18230" name="テキスト 992">
            <a:extLst>
              <a:ext uri="{FF2B5EF4-FFF2-40B4-BE49-F238E27FC236}">
                <a16:creationId xmlns:a16="http://schemas.microsoft.com/office/drawing/2014/main" id="{00000000-0008-0000-0000-00003647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4" y="431"/>
            <a:ext cx="32" cy="15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初１</a:t>
            </a:r>
          </a:p>
          <a:p>
            <a:pPr algn="l" rtl="0">
              <a:defRPr sz="1000"/>
            </a:pPr>
            <a:endPara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  <xdr:sp macro="" textlink="">
        <xdr:nvSpPr>
          <xdr:cNvPr id="18231" name="テキスト 993">
            <a:extLst>
              <a:ext uri="{FF2B5EF4-FFF2-40B4-BE49-F238E27FC236}">
                <a16:creationId xmlns:a16="http://schemas.microsoft.com/office/drawing/2014/main" id="{00000000-0008-0000-0000-00003747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4" y="442"/>
            <a:ext cx="32" cy="16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終１</a:t>
            </a:r>
          </a:p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１</a:t>
            </a:r>
          </a:p>
          <a:p>
            <a:pPr algn="l" rtl="0">
              <a:defRPr sz="1000"/>
            </a:pPr>
            <a:endPara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</xdr:grpSp>
    <xdr:clientData/>
  </xdr:twoCellAnchor>
  <xdr:twoCellAnchor editAs="oneCell">
    <xdr:from>
      <xdr:col>48</xdr:col>
      <xdr:colOff>28575</xdr:colOff>
      <xdr:row>19</xdr:row>
      <xdr:rowOff>180975</xdr:rowOff>
    </xdr:from>
    <xdr:to>
      <xdr:col>53</xdr:col>
      <xdr:colOff>0</xdr:colOff>
      <xdr:row>21</xdr:row>
      <xdr:rowOff>76200</xdr:rowOff>
    </xdr:to>
    <xdr:sp macro="" textlink="入力ｼｰﾄ!$E$11" fLocksText="0">
      <xdr:nvSpPr>
        <xdr:cNvPr id="18053" name="text_kakoumen">
          <a:extLst>
            <a:ext uri="{FF2B5EF4-FFF2-40B4-BE49-F238E27FC236}">
              <a16:creationId xmlns:a16="http://schemas.microsoft.com/office/drawing/2014/main" id="{00000000-0008-0000-0000-000085460000}"/>
            </a:ext>
          </a:extLst>
        </xdr:cNvPr>
        <xdr:cNvSpPr txBox="1">
          <a:spLocks noChangeArrowheads="1"/>
        </xdr:cNvSpPr>
      </xdr:nvSpPr>
      <xdr:spPr bwMode="auto">
        <a:xfrm>
          <a:off x="9544050" y="4105275"/>
          <a:ext cx="733425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fld id="{07A7438B-1934-4060-A737-BA05E5BE5349}" type="TxLink">
            <a:rPr lang="ja-JP" altLang="en-US" sz="7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pPr algn="l" rtl="0">
              <a:defRPr sz="1000"/>
            </a:pPr>
            <a:t>キズ、黒皮、バリ無き事</a:t>
          </a:fld>
          <a:endParaRPr lang="ja-JP" altLang="en-US" sz="7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46</xdr:col>
      <xdr:colOff>0</xdr:colOff>
      <xdr:row>21</xdr:row>
      <xdr:rowOff>0</xdr:rowOff>
    </xdr:from>
    <xdr:to>
      <xdr:col>48</xdr:col>
      <xdr:colOff>0</xdr:colOff>
      <xdr:row>22</xdr:row>
      <xdr:rowOff>9525</xdr:rowOff>
    </xdr:to>
    <xdr:sp macro="" textlink="">
      <xdr:nvSpPr>
        <xdr:cNvPr id="23489" name="Line 2134">
          <a:extLst>
            <a:ext uri="{FF2B5EF4-FFF2-40B4-BE49-F238E27FC236}">
              <a16:creationId xmlns:a16="http://schemas.microsoft.com/office/drawing/2014/main" id="{00000000-0008-0000-0000-0000C15B0000}"/>
            </a:ext>
          </a:extLst>
        </xdr:cNvPr>
        <xdr:cNvSpPr>
          <a:spLocks noChangeShapeType="1"/>
        </xdr:cNvSpPr>
      </xdr:nvSpPr>
      <xdr:spPr bwMode="auto">
        <a:xfrm>
          <a:off x="9210675" y="4343400"/>
          <a:ext cx="304800" cy="2190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38100</xdr:colOff>
      <xdr:row>41</xdr:row>
      <xdr:rowOff>57150</xdr:rowOff>
    </xdr:from>
    <xdr:to>
      <xdr:col>25</xdr:col>
      <xdr:colOff>104775</xdr:colOff>
      <xdr:row>43</xdr:row>
      <xdr:rowOff>47625</xdr:rowOff>
    </xdr:to>
    <xdr:sp macro="" textlink="">
      <xdr:nvSpPr>
        <xdr:cNvPr id="1508" name="テキスト 484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 txBox="1">
          <a:spLocks noChangeArrowheads="1"/>
        </xdr:cNvSpPr>
      </xdr:nvSpPr>
      <xdr:spPr bwMode="auto">
        <a:xfrm>
          <a:off x="4981575" y="8943975"/>
          <a:ext cx="504825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ﾀｲﾏｰ２</a:t>
          </a:r>
        </a:p>
        <a:p>
          <a:pPr algn="l" rtl="0">
            <a:lnSpc>
              <a:spcPts val="900"/>
            </a:lnSpc>
            <a:defRPr sz="1000"/>
          </a:pPr>
          <a:r>
            <a:rPr lang="ja-JP" altLang="en-US"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（仕上）</a:t>
          </a:r>
        </a:p>
      </xdr:txBody>
    </xdr:sp>
    <xdr:clientData/>
  </xdr:twoCellAnchor>
  <xdr:twoCellAnchor>
    <xdr:from>
      <xdr:col>1</xdr:col>
      <xdr:colOff>85725</xdr:colOff>
      <xdr:row>44</xdr:row>
      <xdr:rowOff>0</xdr:rowOff>
    </xdr:from>
    <xdr:to>
      <xdr:col>32</xdr:col>
      <xdr:colOff>209550</xdr:colOff>
      <xdr:row>44</xdr:row>
      <xdr:rowOff>0</xdr:rowOff>
    </xdr:to>
    <xdr:sp macro="" textlink="">
      <xdr:nvSpPr>
        <xdr:cNvPr id="23491" name="Line 460">
          <a:extLst>
            <a:ext uri="{FF2B5EF4-FFF2-40B4-BE49-F238E27FC236}">
              <a16:creationId xmlns:a16="http://schemas.microsoft.com/office/drawing/2014/main" id="{00000000-0008-0000-0000-0000C35B0000}"/>
            </a:ext>
          </a:extLst>
        </xdr:cNvPr>
        <xdr:cNvSpPr>
          <a:spLocks noChangeShapeType="1"/>
        </xdr:cNvSpPr>
      </xdr:nvSpPr>
      <xdr:spPr bwMode="auto">
        <a:xfrm>
          <a:off x="304800" y="9382125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51</xdr:row>
      <xdr:rowOff>0</xdr:rowOff>
    </xdr:from>
    <xdr:to>
      <xdr:col>7</xdr:col>
      <xdr:colOff>0</xdr:colOff>
      <xdr:row>53</xdr:row>
      <xdr:rowOff>9525</xdr:rowOff>
    </xdr:to>
    <xdr:sp macro="" textlink="">
      <xdr:nvSpPr>
        <xdr:cNvPr id="23492" name="Line 479">
          <a:extLst>
            <a:ext uri="{FF2B5EF4-FFF2-40B4-BE49-F238E27FC236}">
              <a16:creationId xmlns:a16="http://schemas.microsoft.com/office/drawing/2014/main" id="{00000000-0008-0000-0000-0000C45B0000}"/>
            </a:ext>
          </a:extLst>
        </xdr:cNvPr>
        <xdr:cNvSpPr>
          <a:spLocks noChangeShapeType="1"/>
        </xdr:cNvSpPr>
      </xdr:nvSpPr>
      <xdr:spPr bwMode="auto">
        <a:xfrm>
          <a:off x="1438275" y="11029950"/>
          <a:ext cx="0" cy="409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42</xdr:row>
      <xdr:rowOff>0</xdr:rowOff>
    </xdr:from>
    <xdr:to>
      <xdr:col>33</xdr:col>
      <xdr:colOff>0</xdr:colOff>
      <xdr:row>50</xdr:row>
      <xdr:rowOff>0</xdr:rowOff>
    </xdr:to>
    <xdr:sp macro="" textlink="">
      <xdr:nvSpPr>
        <xdr:cNvPr id="23493" name="Line 487">
          <a:extLst>
            <a:ext uri="{FF2B5EF4-FFF2-40B4-BE49-F238E27FC236}">
              <a16:creationId xmlns:a16="http://schemas.microsoft.com/office/drawing/2014/main" id="{00000000-0008-0000-0000-0000C55B0000}"/>
            </a:ext>
          </a:extLst>
        </xdr:cNvPr>
        <xdr:cNvSpPr>
          <a:spLocks noChangeShapeType="1"/>
        </xdr:cNvSpPr>
      </xdr:nvSpPr>
      <xdr:spPr bwMode="auto">
        <a:xfrm>
          <a:off x="7134225" y="8972550"/>
          <a:ext cx="0" cy="1828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50</xdr:row>
      <xdr:rowOff>0</xdr:rowOff>
    </xdr:from>
    <xdr:to>
      <xdr:col>32</xdr:col>
      <xdr:colOff>209550</xdr:colOff>
      <xdr:row>50</xdr:row>
      <xdr:rowOff>0</xdr:rowOff>
    </xdr:to>
    <xdr:sp macro="" textlink="">
      <xdr:nvSpPr>
        <xdr:cNvPr id="23494" name="Line 498">
          <a:extLst>
            <a:ext uri="{FF2B5EF4-FFF2-40B4-BE49-F238E27FC236}">
              <a16:creationId xmlns:a16="http://schemas.microsoft.com/office/drawing/2014/main" id="{00000000-0008-0000-0000-0000C65B0000}"/>
            </a:ext>
          </a:extLst>
        </xdr:cNvPr>
        <xdr:cNvSpPr>
          <a:spLocks noChangeShapeType="1"/>
        </xdr:cNvSpPr>
      </xdr:nvSpPr>
      <xdr:spPr bwMode="auto">
        <a:xfrm>
          <a:off x="304800" y="1080135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49</xdr:row>
      <xdr:rowOff>0</xdr:rowOff>
    </xdr:from>
    <xdr:to>
      <xdr:col>32</xdr:col>
      <xdr:colOff>209550</xdr:colOff>
      <xdr:row>49</xdr:row>
      <xdr:rowOff>0</xdr:rowOff>
    </xdr:to>
    <xdr:sp macro="" textlink="">
      <xdr:nvSpPr>
        <xdr:cNvPr id="23495" name="Line 499">
          <a:extLst>
            <a:ext uri="{FF2B5EF4-FFF2-40B4-BE49-F238E27FC236}">
              <a16:creationId xmlns:a16="http://schemas.microsoft.com/office/drawing/2014/main" id="{00000000-0008-0000-0000-0000C75B0000}"/>
            </a:ext>
          </a:extLst>
        </xdr:cNvPr>
        <xdr:cNvSpPr>
          <a:spLocks noChangeShapeType="1"/>
        </xdr:cNvSpPr>
      </xdr:nvSpPr>
      <xdr:spPr bwMode="auto">
        <a:xfrm>
          <a:off x="304800" y="10572750"/>
          <a:ext cx="68199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45</xdr:row>
      <xdr:rowOff>0</xdr:rowOff>
    </xdr:from>
    <xdr:to>
      <xdr:col>33</xdr:col>
      <xdr:colOff>0</xdr:colOff>
      <xdr:row>45</xdr:row>
      <xdr:rowOff>0</xdr:rowOff>
    </xdr:to>
    <xdr:sp macro="" textlink="">
      <xdr:nvSpPr>
        <xdr:cNvPr id="23496" name="Line 548">
          <a:extLst>
            <a:ext uri="{FF2B5EF4-FFF2-40B4-BE49-F238E27FC236}">
              <a16:creationId xmlns:a16="http://schemas.microsoft.com/office/drawing/2014/main" id="{00000000-0008-0000-0000-0000C85B0000}"/>
            </a:ext>
          </a:extLst>
        </xdr:cNvPr>
        <xdr:cNvSpPr>
          <a:spLocks noChangeShapeType="1"/>
        </xdr:cNvSpPr>
      </xdr:nvSpPr>
      <xdr:spPr bwMode="auto">
        <a:xfrm>
          <a:off x="304800" y="9658350"/>
          <a:ext cx="6829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46</xdr:row>
      <xdr:rowOff>0</xdr:rowOff>
    </xdr:from>
    <xdr:to>
      <xdr:col>32</xdr:col>
      <xdr:colOff>209550</xdr:colOff>
      <xdr:row>46</xdr:row>
      <xdr:rowOff>0</xdr:rowOff>
    </xdr:to>
    <xdr:sp macro="" textlink="">
      <xdr:nvSpPr>
        <xdr:cNvPr id="23497" name="Line 549">
          <a:extLst>
            <a:ext uri="{FF2B5EF4-FFF2-40B4-BE49-F238E27FC236}">
              <a16:creationId xmlns:a16="http://schemas.microsoft.com/office/drawing/2014/main" id="{00000000-0008-0000-0000-0000C95B0000}"/>
            </a:ext>
          </a:extLst>
        </xdr:cNvPr>
        <xdr:cNvSpPr>
          <a:spLocks noChangeShapeType="1"/>
        </xdr:cNvSpPr>
      </xdr:nvSpPr>
      <xdr:spPr bwMode="auto">
        <a:xfrm>
          <a:off x="304800" y="9886950"/>
          <a:ext cx="68199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48</xdr:row>
      <xdr:rowOff>0</xdr:rowOff>
    </xdr:from>
    <xdr:to>
      <xdr:col>33</xdr:col>
      <xdr:colOff>0</xdr:colOff>
      <xdr:row>48</xdr:row>
      <xdr:rowOff>0</xdr:rowOff>
    </xdr:to>
    <xdr:sp macro="" textlink="">
      <xdr:nvSpPr>
        <xdr:cNvPr id="23498" name="Line 552">
          <a:extLst>
            <a:ext uri="{FF2B5EF4-FFF2-40B4-BE49-F238E27FC236}">
              <a16:creationId xmlns:a16="http://schemas.microsoft.com/office/drawing/2014/main" id="{00000000-0008-0000-0000-0000CA5B0000}"/>
            </a:ext>
          </a:extLst>
        </xdr:cNvPr>
        <xdr:cNvSpPr>
          <a:spLocks noChangeShapeType="1"/>
        </xdr:cNvSpPr>
      </xdr:nvSpPr>
      <xdr:spPr bwMode="auto">
        <a:xfrm>
          <a:off x="304800" y="10344150"/>
          <a:ext cx="68294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51</xdr:row>
      <xdr:rowOff>0</xdr:rowOff>
    </xdr:from>
    <xdr:to>
      <xdr:col>33</xdr:col>
      <xdr:colOff>0</xdr:colOff>
      <xdr:row>51</xdr:row>
      <xdr:rowOff>0</xdr:rowOff>
    </xdr:to>
    <xdr:sp macro="" textlink="">
      <xdr:nvSpPr>
        <xdr:cNvPr id="23499" name="Line 553">
          <a:extLst>
            <a:ext uri="{FF2B5EF4-FFF2-40B4-BE49-F238E27FC236}">
              <a16:creationId xmlns:a16="http://schemas.microsoft.com/office/drawing/2014/main" id="{00000000-0008-0000-0000-0000CB5B0000}"/>
            </a:ext>
          </a:extLst>
        </xdr:cNvPr>
        <xdr:cNvSpPr>
          <a:spLocks noChangeShapeType="1"/>
        </xdr:cNvSpPr>
      </xdr:nvSpPr>
      <xdr:spPr bwMode="auto">
        <a:xfrm>
          <a:off x="304800" y="11029950"/>
          <a:ext cx="6829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52</xdr:row>
      <xdr:rowOff>0</xdr:rowOff>
    </xdr:from>
    <xdr:to>
      <xdr:col>33</xdr:col>
      <xdr:colOff>0</xdr:colOff>
      <xdr:row>52</xdr:row>
      <xdr:rowOff>0</xdr:rowOff>
    </xdr:to>
    <xdr:sp macro="" textlink="">
      <xdr:nvSpPr>
        <xdr:cNvPr id="23500" name="Line 554">
          <a:extLst>
            <a:ext uri="{FF2B5EF4-FFF2-40B4-BE49-F238E27FC236}">
              <a16:creationId xmlns:a16="http://schemas.microsoft.com/office/drawing/2014/main" id="{00000000-0008-0000-0000-0000CC5B0000}"/>
            </a:ext>
          </a:extLst>
        </xdr:cNvPr>
        <xdr:cNvSpPr>
          <a:spLocks noChangeShapeType="1"/>
        </xdr:cNvSpPr>
      </xdr:nvSpPr>
      <xdr:spPr bwMode="auto">
        <a:xfrm>
          <a:off x="304800" y="11229975"/>
          <a:ext cx="68294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53</xdr:row>
      <xdr:rowOff>0</xdr:rowOff>
    </xdr:from>
    <xdr:to>
      <xdr:col>32</xdr:col>
      <xdr:colOff>209550</xdr:colOff>
      <xdr:row>53</xdr:row>
      <xdr:rowOff>0</xdr:rowOff>
    </xdr:to>
    <xdr:sp macro="" textlink="">
      <xdr:nvSpPr>
        <xdr:cNvPr id="23501" name="Line 555">
          <a:extLst>
            <a:ext uri="{FF2B5EF4-FFF2-40B4-BE49-F238E27FC236}">
              <a16:creationId xmlns:a16="http://schemas.microsoft.com/office/drawing/2014/main" id="{00000000-0008-0000-0000-0000CD5B0000}"/>
            </a:ext>
          </a:extLst>
        </xdr:cNvPr>
        <xdr:cNvSpPr>
          <a:spLocks noChangeShapeType="1"/>
        </xdr:cNvSpPr>
      </xdr:nvSpPr>
      <xdr:spPr bwMode="auto">
        <a:xfrm>
          <a:off x="304800" y="1143000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42</xdr:row>
      <xdr:rowOff>0</xdr:rowOff>
    </xdr:from>
    <xdr:to>
      <xdr:col>33</xdr:col>
      <xdr:colOff>0</xdr:colOff>
      <xdr:row>42</xdr:row>
      <xdr:rowOff>0</xdr:rowOff>
    </xdr:to>
    <xdr:sp macro="" textlink="">
      <xdr:nvSpPr>
        <xdr:cNvPr id="23502" name="Line 2061">
          <a:extLst>
            <a:ext uri="{FF2B5EF4-FFF2-40B4-BE49-F238E27FC236}">
              <a16:creationId xmlns:a16="http://schemas.microsoft.com/office/drawing/2014/main" id="{00000000-0008-0000-0000-0000CE5B0000}"/>
            </a:ext>
          </a:extLst>
        </xdr:cNvPr>
        <xdr:cNvSpPr>
          <a:spLocks noChangeShapeType="1"/>
        </xdr:cNvSpPr>
      </xdr:nvSpPr>
      <xdr:spPr bwMode="auto">
        <a:xfrm>
          <a:off x="1000125" y="8972550"/>
          <a:ext cx="6134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44</xdr:row>
      <xdr:rowOff>0</xdr:rowOff>
    </xdr:from>
    <xdr:to>
      <xdr:col>3</xdr:col>
      <xdr:colOff>0</xdr:colOff>
      <xdr:row>50</xdr:row>
      <xdr:rowOff>0</xdr:rowOff>
    </xdr:to>
    <xdr:sp macro="" textlink="">
      <xdr:nvSpPr>
        <xdr:cNvPr id="23503" name="Line 2062">
          <a:extLst>
            <a:ext uri="{FF2B5EF4-FFF2-40B4-BE49-F238E27FC236}">
              <a16:creationId xmlns:a16="http://schemas.microsoft.com/office/drawing/2014/main" id="{00000000-0008-0000-0000-0000CF5B0000}"/>
            </a:ext>
          </a:extLst>
        </xdr:cNvPr>
        <xdr:cNvSpPr>
          <a:spLocks noChangeShapeType="1"/>
        </xdr:cNvSpPr>
      </xdr:nvSpPr>
      <xdr:spPr bwMode="auto">
        <a:xfrm>
          <a:off x="590550" y="9382125"/>
          <a:ext cx="0" cy="1419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41</xdr:row>
      <xdr:rowOff>76200</xdr:rowOff>
    </xdr:from>
    <xdr:to>
      <xdr:col>5</xdr:col>
      <xdr:colOff>0</xdr:colOff>
      <xdr:row>50</xdr:row>
      <xdr:rowOff>0</xdr:rowOff>
    </xdr:to>
    <xdr:sp macro="" textlink="">
      <xdr:nvSpPr>
        <xdr:cNvPr id="23504" name="Line 2063">
          <a:extLst>
            <a:ext uri="{FF2B5EF4-FFF2-40B4-BE49-F238E27FC236}">
              <a16:creationId xmlns:a16="http://schemas.microsoft.com/office/drawing/2014/main" id="{00000000-0008-0000-0000-0000D05B0000}"/>
            </a:ext>
          </a:extLst>
        </xdr:cNvPr>
        <xdr:cNvSpPr>
          <a:spLocks noChangeShapeType="1"/>
        </xdr:cNvSpPr>
      </xdr:nvSpPr>
      <xdr:spPr bwMode="auto">
        <a:xfrm>
          <a:off x="1000125" y="8963025"/>
          <a:ext cx="0" cy="183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7</xdr:col>
      <xdr:colOff>0</xdr:colOff>
      <xdr:row>50</xdr:row>
      <xdr:rowOff>0</xdr:rowOff>
    </xdr:to>
    <xdr:sp macro="" textlink="">
      <xdr:nvSpPr>
        <xdr:cNvPr id="23505" name="Line 2064">
          <a:extLst>
            <a:ext uri="{FF2B5EF4-FFF2-40B4-BE49-F238E27FC236}">
              <a16:creationId xmlns:a16="http://schemas.microsoft.com/office/drawing/2014/main" id="{00000000-0008-0000-0000-0000D15B0000}"/>
            </a:ext>
          </a:extLst>
        </xdr:cNvPr>
        <xdr:cNvSpPr>
          <a:spLocks noChangeShapeType="1"/>
        </xdr:cNvSpPr>
      </xdr:nvSpPr>
      <xdr:spPr bwMode="auto">
        <a:xfrm>
          <a:off x="1438275" y="9382125"/>
          <a:ext cx="0" cy="14192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44</xdr:row>
      <xdr:rowOff>0</xdr:rowOff>
    </xdr:from>
    <xdr:to>
      <xdr:col>9</xdr:col>
      <xdr:colOff>0</xdr:colOff>
      <xdr:row>50</xdr:row>
      <xdr:rowOff>0</xdr:rowOff>
    </xdr:to>
    <xdr:sp macro="" textlink="">
      <xdr:nvSpPr>
        <xdr:cNvPr id="23506" name="Line 2065">
          <a:extLst>
            <a:ext uri="{FF2B5EF4-FFF2-40B4-BE49-F238E27FC236}">
              <a16:creationId xmlns:a16="http://schemas.microsoft.com/office/drawing/2014/main" id="{00000000-0008-0000-0000-0000D25B0000}"/>
            </a:ext>
          </a:extLst>
        </xdr:cNvPr>
        <xdr:cNvSpPr>
          <a:spLocks noChangeShapeType="1"/>
        </xdr:cNvSpPr>
      </xdr:nvSpPr>
      <xdr:spPr bwMode="auto">
        <a:xfrm>
          <a:off x="1876425" y="9382125"/>
          <a:ext cx="0" cy="14192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44</xdr:row>
      <xdr:rowOff>0</xdr:rowOff>
    </xdr:from>
    <xdr:to>
      <xdr:col>11</xdr:col>
      <xdr:colOff>0</xdr:colOff>
      <xdr:row>50</xdr:row>
      <xdr:rowOff>0</xdr:rowOff>
    </xdr:to>
    <xdr:sp macro="" textlink="">
      <xdr:nvSpPr>
        <xdr:cNvPr id="23507" name="Line 2066">
          <a:extLst>
            <a:ext uri="{FF2B5EF4-FFF2-40B4-BE49-F238E27FC236}">
              <a16:creationId xmlns:a16="http://schemas.microsoft.com/office/drawing/2014/main" id="{00000000-0008-0000-0000-0000D35B0000}"/>
            </a:ext>
          </a:extLst>
        </xdr:cNvPr>
        <xdr:cNvSpPr>
          <a:spLocks noChangeShapeType="1"/>
        </xdr:cNvSpPr>
      </xdr:nvSpPr>
      <xdr:spPr bwMode="auto">
        <a:xfrm>
          <a:off x="2314575" y="9382125"/>
          <a:ext cx="0" cy="14192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44</xdr:row>
      <xdr:rowOff>0</xdr:rowOff>
    </xdr:from>
    <xdr:to>
      <xdr:col>13</xdr:col>
      <xdr:colOff>0</xdr:colOff>
      <xdr:row>50</xdr:row>
      <xdr:rowOff>0</xdr:rowOff>
    </xdr:to>
    <xdr:sp macro="" textlink="">
      <xdr:nvSpPr>
        <xdr:cNvPr id="23508" name="Line 2067">
          <a:extLst>
            <a:ext uri="{FF2B5EF4-FFF2-40B4-BE49-F238E27FC236}">
              <a16:creationId xmlns:a16="http://schemas.microsoft.com/office/drawing/2014/main" id="{00000000-0008-0000-0000-0000D45B0000}"/>
            </a:ext>
          </a:extLst>
        </xdr:cNvPr>
        <xdr:cNvSpPr>
          <a:spLocks noChangeShapeType="1"/>
        </xdr:cNvSpPr>
      </xdr:nvSpPr>
      <xdr:spPr bwMode="auto">
        <a:xfrm>
          <a:off x="2752725" y="9382125"/>
          <a:ext cx="0" cy="14192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42</xdr:row>
      <xdr:rowOff>0</xdr:rowOff>
    </xdr:from>
    <xdr:to>
      <xdr:col>15</xdr:col>
      <xdr:colOff>0</xdr:colOff>
      <xdr:row>50</xdr:row>
      <xdr:rowOff>0</xdr:rowOff>
    </xdr:to>
    <xdr:sp macro="" textlink="">
      <xdr:nvSpPr>
        <xdr:cNvPr id="23509" name="Line 2068">
          <a:extLst>
            <a:ext uri="{FF2B5EF4-FFF2-40B4-BE49-F238E27FC236}">
              <a16:creationId xmlns:a16="http://schemas.microsoft.com/office/drawing/2014/main" id="{00000000-0008-0000-0000-0000D55B0000}"/>
            </a:ext>
          </a:extLst>
        </xdr:cNvPr>
        <xdr:cNvSpPr>
          <a:spLocks noChangeShapeType="1"/>
        </xdr:cNvSpPr>
      </xdr:nvSpPr>
      <xdr:spPr bwMode="auto">
        <a:xfrm>
          <a:off x="3190875" y="8972550"/>
          <a:ext cx="0" cy="1828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44</xdr:row>
      <xdr:rowOff>0</xdr:rowOff>
    </xdr:from>
    <xdr:to>
      <xdr:col>17</xdr:col>
      <xdr:colOff>0</xdr:colOff>
      <xdr:row>50</xdr:row>
      <xdr:rowOff>0</xdr:rowOff>
    </xdr:to>
    <xdr:sp macro="" textlink="">
      <xdr:nvSpPr>
        <xdr:cNvPr id="23510" name="Line 2069">
          <a:extLst>
            <a:ext uri="{FF2B5EF4-FFF2-40B4-BE49-F238E27FC236}">
              <a16:creationId xmlns:a16="http://schemas.microsoft.com/office/drawing/2014/main" id="{00000000-0008-0000-0000-0000D65B0000}"/>
            </a:ext>
          </a:extLst>
        </xdr:cNvPr>
        <xdr:cNvSpPr>
          <a:spLocks noChangeShapeType="1"/>
        </xdr:cNvSpPr>
      </xdr:nvSpPr>
      <xdr:spPr bwMode="auto">
        <a:xfrm>
          <a:off x="3629025" y="9382125"/>
          <a:ext cx="0" cy="14192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44</xdr:row>
      <xdr:rowOff>0</xdr:rowOff>
    </xdr:from>
    <xdr:to>
      <xdr:col>19</xdr:col>
      <xdr:colOff>0</xdr:colOff>
      <xdr:row>50</xdr:row>
      <xdr:rowOff>0</xdr:rowOff>
    </xdr:to>
    <xdr:sp macro="" textlink="">
      <xdr:nvSpPr>
        <xdr:cNvPr id="23511" name="Line 2070">
          <a:extLst>
            <a:ext uri="{FF2B5EF4-FFF2-40B4-BE49-F238E27FC236}">
              <a16:creationId xmlns:a16="http://schemas.microsoft.com/office/drawing/2014/main" id="{00000000-0008-0000-0000-0000D75B0000}"/>
            </a:ext>
          </a:extLst>
        </xdr:cNvPr>
        <xdr:cNvSpPr>
          <a:spLocks noChangeShapeType="1"/>
        </xdr:cNvSpPr>
      </xdr:nvSpPr>
      <xdr:spPr bwMode="auto">
        <a:xfrm>
          <a:off x="4029075" y="9382125"/>
          <a:ext cx="0" cy="14192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44</xdr:row>
      <xdr:rowOff>0</xdr:rowOff>
    </xdr:from>
    <xdr:to>
      <xdr:col>21</xdr:col>
      <xdr:colOff>0</xdr:colOff>
      <xdr:row>50</xdr:row>
      <xdr:rowOff>0</xdr:rowOff>
    </xdr:to>
    <xdr:sp macro="" textlink="">
      <xdr:nvSpPr>
        <xdr:cNvPr id="23512" name="Line 2071">
          <a:extLst>
            <a:ext uri="{FF2B5EF4-FFF2-40B4-BE49-F238E27FC236}">
              <a16:creationId xmlns:a16="http://schemas.microsoft.com/office/drawing/2014/main" id="{00000000-0008-0000-0000-0000D85B0000}"/>
            </a:ext>
          </a:extLst>
        </xdr:cNvPr>
        <xdr:cNvSpPr>
          <a:spLocks noChangeShapeType="1"/>
        </xdr:cNvSpPr>
      </xdr:nvSpPr>
      <xdr:spPr bwMode="auto">
        <a:xfrm>
          <a:off x="4505325" y="9382125"/>
          <a:ext cx="0" cy="14192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44</xdr:row>
      <xdr:rowOff>0</xdr:rowOff>
    </xdr:from>
    <xdr:to>
      <xdr:col>23</xdr:col>
      <xdr:colOff>0</xdr:colOff>
      <xdr:row>50</xdr:row>
      <xdr:rowOff>0</xdr:rowOff>
    </xdr:to>
    <xdr:sp macro="" textlink="">
      <xdr:nvSpPr>
        <xdr:cNvPr id="23513" name="Line 2072">
          <a:extLst>
            <a:ext uri="{FF2B5EF4-FFF2-40B4-BE49-F238E27FC236}">
              <a16:creationId xmlns:a16="http://schemas.microsoft.com/office/drawing/2014/main" id="{00000000-0008-0000-0000-0000D95B0000}"/>
            </a:ext>
          </a:extLst>
        </xdr:cNvPr>
        <xdr:cNvSpPr>
          <a:spLocks noChangeShapeType="1"/>
        </xdr:cNvSpPr>
      </xdr:nvSpPr>
      <xdr:spPr bwMode="auto">
        <a:xfrm>
          <a:off x="4943475" y="9382125"/>
          <a:ext cx="0" cy="1419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44</xdr:row>
      <xdr:rowOff>0</xdr:rowOff>
    </xdr:from>
    <xdr:to>
      <xdr:col>25</xdr:col>
      <xdr:colOff>0</xdr:colOff>
      <xdr:row>50</xdr:row>
      <xdr:rowOff>0</xdr:rowOff>
    </xdr:to>
    <xdr:sp macro="" textlink="">
      <xdr:nvSpPr>
        <xdr:cNvPr id="23514" name="Line 2073">
          <a:extLst>
            <a:ext uri="{FF2B5EF4-FFF2-40B4-BE49-F238E27FC236}">
              <a16:creationId xmlns:a16="http://schemas.microsoft.com/office/drawing/2014/main" id="{00000000-0008-0000-0000-0000DA5B0000}"/>
            </a:ext>
          </a:extLst>
        </xdr:cNvPr>
        <xdr:cNvSpPr>
          <a:spLocks noChangeShapeType="1"/>
        </xdr:cNvSpPr>
      </xdr:nvSpPr>
      <xdr:spPr bwMode="auto">
        <a:xfrm>
          <a:off x="5381625" y="9382125"/>
          <a:ext cx="0" cy="1419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44</xdr:row>
      <xdr:rowOff>0</xdr:rowOff>
    </xdr:from>
    <xdr:to>
      <xdr:col>27</xdr:col>
      <xdr:colOff>0</xdr:colOff>
      <xdr:row>50</xdr:row>
      <xdr:rowOff>0</xdr:rowOff>
    </xdr:to>
    <xdr:sp macro="" textlink="">
      <xdr:nvSpPr>
        <xdr:cNvPr id="23515" name="Line 2074">
          <a:extLst>
            <a:ext uri="{FF2B5EF4-FFF2-40B4-BE49-F238E27FC236}">
              <a16:creationId xmlns:a16="http://schemas.microsoft.com/office/drawing/2014/main" id="{00000000-0008-0000-0000-0000DB5B0000}"/>
            </a:ext>
          </a:extLst>
        </xdr:cNvPr>
        <xdr:cNvSpPr>
          <a:spLocks noChangeShapeType="1"/>
        </xdr:cNvSpPr>
      </xdr:nvSpPr>
      <xdr:spPr bwMode="auto">
        <a:xfrm>
          <a:off x="5781675" y="9382125"/>
          <a:ext cx="0" cy="14192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44</xdr:row>
      <xdr:rowOff>0</xdr:rowOff>
    </xdr:from>
    <xdr:to>
      <xdr:col>29</xdr:col>
      <xdr:colOff>0</xdr:colOff>
      <xdr:row>50</xdr:row>
      <xdr:rowOff>0</xdr:rowOff>
    </xdr:to>
    <xdr:sp macro="" textlink="">
      <xdr:nvSpPr>
        <xdr:cNvPr id="23516" name="Line 2075">
          <a:extLst>
            <a:ext uri="{FF2B5EF4-FFF2-40B4-BE49-F238E27FC236}">
              <a16:creationId xmlns:a16="http://schemas.microsoft.com/office/drawing/2014/main" id="{00000000-0008-0000-0000-0000DC5B0000}"/>
            </a:ext>
          </a:extLst>
        </xdr:cNvPr>
        <xdr:cNvSpPr>
          <a:spLocks noChangeShapeType="1"/>
        </xdr:cNvSpPr>
      </xdr:nvSpPr>
      <xdr:spPr bwMode="auto">
        <a:xfrm>
          <a:off x="6257925" y="9382125"/>
          <a:ext cx="0" cy="14192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44</xdr:row>
      <xdr:rowOff>0</xdr:rowOff>
    </xdr:from>
    <xdr:to>
      <xdr:col>31</xdr:col>
      <xdr:colOff>0</xdr:colOff>
      <xdr:row>50</xdr:row>
      <xdr:rowOff>0</xdr:rowOff>
    </xdr:to>
    <xdr:sp macro="" textlink="">
      <xdr:nvSpPr>
        <xdr:cNvPr id="23517" name="Line 2076">
          <a:extLst>
            <a:ext uri="{FF2B5EF4-FFF2-40B4-BE49-F238E27FC236}">
              <a16:creationId xmlns:a16="http://schemas.microsoft.com/office/drawing/2014/main" id="{00000000-0008-0000-0000-0000DD5B0000}"/>
            </a:ext>
          </a:extLst>
        </xdr:cNvPr>
        <xdr:cNvSpPr>
          <a:spLocks noChangeShapeType="1"/>
        </xdr:cNvSpPr>
      </xdr:nvSpPr>
      <xdr:spPr bwMode="auto">
        <a:xfrm>
          <a:off x="6696075" y="9382125"/>
          <a:ext cx="0" cy="14192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43</xdr:row>
      <xdr:rowOff>0</xdr:rowOff>
    </xdr:from>
    <xdr:to>
      <xdr:col>33</xdr:col>
      <xdr:colOff>0</xdr:colOff>
      <xdr:row>43</xdr:row>
      <xdr:rowOff>0</xdr:rowOff>
    </xdr:to>
    <xdr:sp macro="" textlink="">
      <xdr:nvSpPr>
        <xdr:cNvPr id="23518" name="Line 2077">
          <a:extLst>
            <a:ext uri="{FF2B5EF4-FFF2-40B4-BE49-F238E27FC236}">
              <a16:creationId xmlns:a16="http://schemas.microsoft.com/office/drawing/2014/main" id="{00000000-0008-0000-0000-0000DE5B0000}"/>
            </a:ext>
          </a:extLst>
        </xdr:cNvPr>
        <xdr:cNvSpPr>
          <a:spLocks noChangeShapeType="1"/>
        </xdr:cNvSpPr>
      </xdr:nvSpPr>
      <xdr:spPr bwMode="auto">
        <a:xfrm>
          <a:off x="1000125" y="9210675"/>
          <a:ext cx="61341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209550</xdr:colOff>
      <xdr:row>43</xdr:row>
      <xdr:rowOff>57150</xdr:rowOff>
    </xdr:from>
    <xdr:to>
      <xdr:col>57</xdr:col>
      <xdr:colOff>152400</xdr:colOff>
      <xdr:row>53</xdr:row>
      <xdr:rowOff>257175</xdr:rowOff>
    </xdr:to>
    <xdr:pic>
      <xdr:nvPicPr>
        <xdr:cNvPr id="23519" name="Picture 2078">
          <a:extLst>
            <a:ext uri="{FF2B5EF4-FFF2-40B4-BE49-F238E27FC236}">
              <a16:creationId xmlns:a16="http://schemas.microsoft.com/office/drawing/2014/main" id="{00000000-0008-0000-0000-0000DF5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700" y="9267825"/>
          <a:ext cx="3914775" cy="2419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51</xdr:row>
      <xdr:rowOff>0</xdr:rowOff>
    </xdr:from>
    <xdr:to>
      <xdr:col>5</xdr:col>
      <xdr:colOff>0</xdr:colOff>
      <xdr:row>53</xdr:row>
      <xdr:rowOff>9525</xdr:rowOff>
    </xdr:to>
    <xdr:sp macro="" textlink="">
      <xdr:nvSpPr>
        <xdr:cNvPr id="23520" name="Line 2079">
          <a:extLst>
            <a:ext uri="{FF2B5EF4-FFF2-40B4-BE49-F238E27FC236}">
              <a16:creationId xmlns:a16="http://schemas.microsoft.com/office/drawing/2014/main" id="{00000000-0008-0000-0000-0000E05B0000}"/>
            </a:ext>
          </a:extLst>
        </xdr:cNvPr>
        <xdr:cNvSpPr>
          <a:spLocks noChangeShapeType="1"/>
        </xdr:cNvSpPr>
      </xdr:nvSpPr>
      <xdr:spPr bwMode="auto">
        <a:xfrm>
          <a:off x="1000125" y="1102995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51</xdr:row>
      <xdr:rowOff>0</xdr:rowOff>
    </xdr:from>
    <xdr:to>
      <xdr:col>9</xdr:col>
      <xdr:colOff>0</xdr:colOff>
      <xdr:row>53</xdr:row>
      <xdr:rowOff>9525</xdr:rowOff>
    </xdr:to>
    <xdr:sp macro="" textlink="">
      <xdr:nvSpPr>
        <xdr:cNvPr id="23521" name="Line 2080">
          <a:extLst>
            <a:ext uri="{FF2B5EF4-FFF2-40B4-BE49-F238E27FC236}">
              <a16:creationId xmlns:a16="http://schemas.microsoft.com/office/drawing/2014/main" id="{00000000-0008-0000-0000-0000E15B0000}"/>
            </a:ext>
          </a:extLst>
        </xdr:cNvPr>
        <xdr:cNvSpPr>
          <a:spLocks noChangeShapeType="1"/>
        </xdr:cNvSpPr>
      </xdr:nvSpPr>
      <xdr:spPr bwMode="auto">
        <a:xfrm>
          <a:off x="1876425" y="11029950"/>
          <a:ext cx="0" cy="409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51</xdr:row>
      <xdr:rowOff>0</xdr:rowOff>
    </xdr:from>
    <xdr:to>
      <xdr:col>11</xdr:col>
      <xdr:colOff>0</xdr:colOff>
      <xdr:row>53</xdr:row>
      <xdr:rowOff>9525</xdr:rowOff>
    </xdr:to>
    <xdr:sp macro="" textlink="">
      <xdr:nvSpPr>
        <xdr:cNvPr id="23522" name="Line 2081">
          <a:extLst>
            <a:ext uri="{FF2B5EF4-FFF2-40B4-BE49-F238E27FC236}">
              <a16:creationId xmlns:a16="http://schemas.microsoft.com/office/drawing/2014/main" id="{00000000-0008-0000-0000-0000E25B0000}"/>
            </a:ext>
          </a:extLst>
        </xdr:cNvPr>
        <xdr:cNvSpPr>
          <a:spLocks noChangeShapeType="1"/>
        </xdr:cNvSpPr>
      </xdr:nvSpPr>
      <xdr:spPr bwMode="auto">
        <a:xfrm>
          <a:off x="2314575" y="11029950"/>
          <a:ext cx="0" cy="409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76200</xdr:colOff>
      <xdr:row>47</xdr:row>
      <xdr:rowOff>0</xdr:rowOff>
    </xdr:from>
    <xdr:to>
      <xdr:col>32</xdr:col>
      <xdr:colOff>209550</xdr:colOff>
      <xdr:row>47</xdr:row>
      <xdr:rowOff>0</xdr:rowOff>
    </xdr:to>
    <xdr:sp macro="" textlink="">
      <xdr:nvSpPr>
        <xdr:cNvPr id="23523" name="Line 550">
          <a:extLst>
            <a:ext uri="{FF2B5EF4-FFF2-40B4-BE49-F238E27FC236}">
              <a16:creationId xmlns:a16="http://schemas.microsoft.com/office/drawing/2014/main" id="{00000000-0008-0000-0000-0000E35B0000}"/>
            </a:ext>
          </a:extLst>
        </xdr:cNvPr>
        <xdr:cNvSpPr>
          <a:spLocks noChangeShapeType="1"/>
        </xdr:cNvSpPr>
      </xdr:nvSpPr>
      <xdr:spPr bwMode="auto">
        <a:xfrm>
          <a:off x="295275" y="10115550"/>
          <a:ext cx="682942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43</xdr:row>
      <xdr:rowOff>133351</xdr:rowOff>
    </xdr:from>
    <xdr:to>
      <xdr:col>5</xdr:col>
      <xdr:colOff>28575</xdr:colOff>
      <xdr:row>45</xdr:row>
      <xdr:rowOff>57150</xdr:rowOff>
    </xdr:to>
    <xdr:sp macro="" textlink="">
      <xdr:nvSpPr>
        <xdr:cNvPr id="6178" name="テキスト 484">
          <a:extLst>
            <a:ext uri="{FF2B5EF4-FFF2-40B4-BE49-F238E27FC236}">
              <a16:creationId xmlns:a16="http://schemas.microsoft.com/office/drawing/2014/main" id="{00000000-0008-0000-0000-000022180000}"/>
            </a:ext>
          </a:extLst>
        </xdr:cNvPr>
        <xdr:cNvSpPr txBox="1">
          <a:spLocks noChangeArrowheads="1"/>
        </xdr:cNvSpPr>
      </xdr:nvSpPr>
      <xdr:spPr bwMode="auto">
        <a:xfrm>
          <a:off x="590550" y="9344026"/>
          <a:ext cx="438150" cy="37147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ｶｯﾀｰ回転数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(S)</a:t>
          </a:r>
        </a:p>
      </xdr:txBody>
    </xdr:sp>
    <xdr:clientData/>
  </xdr:twoCellAnchor>
  <xdr:oneCellAnchor>
    <xdr:from>
      <xdr:col>2</xdr:col>
      <xdr:colOff>257175</xdr:colOff>
      <xdr:row>53</xdr:row>
      <xdr:rowOff>26740</xdr:rowOff>
    </xdr:from>
    <xdr:ext cx="3130409" cy="537070"/>
    <xdr:sp macro="" textlink="">
      <xdr:nvSpPr>
        <xdr:cNvPr id="6179" name="テキスト 484">
          <a:extLst>
            <a:ext uri="{FF2B5EF4-FFF2-40B4-BE49-F238E27FC236}">
              <a16:creationId xmlns:a16="http://schemas.microsoft.com/office/drawing/2014/main" id="{00000000-0008-0000-0000-000023180000}"/>
            </a:ext>
          </a:extLst>
        </xdr:cNvPr>
        <xdr:cNvSpPr txBox="1">
          <a:spLocks noChangeArrowheads="1"/>
        </xdr:cNvSpPr>
      </xdr:nvSpPr>
      <xdr:spPr bwMode="auto">
        <a:xfrm>
          <a:off x="571500" y="11456740"/>
          <a:ext cx="3130409" cy="5370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wrap="none" lIns="18288" tIns="18288" rIns="0" bIns="18288" anchor="ctr" upright="1">
          <a:spAutoFit/>
        </a:bodyPr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＜試加工１回目加工条件＞</a:t>
          </a:r>
        </a:p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①再研後１ロット目       ・・・標準条件とする</a:t>
          </a:r>
        </a:p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②再研後１ロット目以降・・・前回ロット終物加工条件とする</a:t>
          </a:r>
        </a:p>
      </xdr:txBody>
    </xdr:sp>
    <xdr:clientData/>
  </xdr:oneCellAnchor>
  <xdr:oneCellAnchor>
    <xdr:from>
      <xdr:col>19</xdr:col>
      <xdr:colOff>47624</xdr:colOff>
      <xdr:row>52</xdr:row>
      <xdr:rowOff>181508</xdr:rowOff>
    </xdr:from>
    <xdr:ext cx="3000375" cy="732891"/>
    <xdr:sp macro="" textlink="">
      <xdr:nvSpPr>
        <xdr:cNvPr id="6180" name="テキスト 484">
          <a:extLst>
            <a:ext uri="{FF2B5EF4-FFF2-40B4-BE49-F238E27FC236}">
              <a16:creationId xmlns:a16="http://schemas.microsoft.com/office/drawing/2014/main" id="{00000000-0008-0000-0000-000024180000}"/>
            </a:ext>
          </a:extLst>
        </xdr:cNvPr>
        <xdr:cNvSpPr txBox="1">
          <a:spLocks noChangeArrowheads="1"/>
        </xdr:cNvSpPr>
      </xdr:nvSpPr>
      <xdr:spPr bwMode="auto">
        <a:xfrm>
          <a:off x="4076699" y="11411483"/>
          <a:ext cx="3000375" cy="732891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wrap="square" lIns="18288" tIns="18288" rIns="0" bIns="18288" anchor="ctr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＜歯形精度ＮＧの加工条件変更ルール＞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①圧力角（ー）・・・回転数：下げる、（下のマスへ移動）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②圧力角（＋）・・・回転数：上げる、（上のマスへ移動）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③ウネリ（大）・・・送り：下げる（左のマスへ移動）</a:t>
          </a:r>
        </a:p>
      </xdr:txBody>
    </xdr:sp>
    <xdr:clientData/>
  </xdr:oneCellAnchor>
  <xdr:twoCellAnchor>
    <xdr:from>
      <xdr:col>13</xdr:col>
      <xdr:colOff>0</xdr:colOff>
      <xdr:row>51</xdr:row>
      <xdr:rowOff>0</xdr:rowOff>
    </xdr:from>
    <xdr:to>
      <xdr:col>13</xdr:col>
      <xdr:colOff>0</xdr:colOff>
      <xdr:row>53</xdr:row>
      <xdr:rowOff>9525</xdr:rowOff>
    </xdr:to>
    <xdr:sp macro="" textlink="">
      <xdr:nvSpPr>
        <xdr:cNvPr id="23527" name="Line 2085">
          <a:extLst>
            <a:ext uri="{FF2B5EF4-FFF2-40B4-BE49-F238E27FC236}">
              <a16:creationId xmlns:a16="http://schemas.microsoft.com/office/drawing/2014/main" id="{00000000-0008-0000-0000-0000E75B0000}"/>
            </a:ext>
          </a:extLst>
        </xdr:cNvPr>
        <xdr:cNvSpPr>
          <a:spLocks noChangeShapeType="1"/>
        </xdr:cNvSpPr>
      </xdr:nvSpPr>
      <xdr:spPr bwMode="auto">
        <a:xfrm>
          <a:off x="2752725" y="11029950"/>
          <a:ext cx="0" cy="40957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51</xdr:row>
      <xdr:rowOff>0</xdr:rowOff>
    </xdr:from>
    <xdr:to>
      <xdr:col>15</xdr:col>
      <xdr:colOff>0</xdr:colOff>
      <xdr:row>53</xdr:row>
      <xdr:rowOff>9525</xdr:rowOff>
    </xdr:to>
    <xdr:sp macro="" textlink="">
      <xdr:nvSpPr>
        <xdr:cNvPr id="23528" name="Line 2086">
          <a:extLst>
            <a:ext uri="{FF2B5EF4-FFF2-40B4-BE49-F238E27FC236}">
              <a16:creationId xmlns:a16="http://schemas.microsoft.com/office/drawing/2014/main" id="{00000000-0008-0000-0000-0000E85B0000}"/>
            </a:ext>
          </a:extLst>
        </xdr:cNvPr>
        <xdr:cNvSpPr>
          <a:spLocks noChangeShapeType="1"/>
        </xdr:cNvSpPr>
      </xdr:nvSpPr>
      <xdr:spPr bwMode="auto">
        <a:xfrm>
          <a:off x="3190875" y="1102995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51</xdr:row>
      <xdr:rowOff>0</xdr:rowOff>
    </xdr:from>
    <xdr:to>
      <xdr:col>17</xdr:col>
      <xdr:colOff>0</xdr:colOff>
      <xdr:row>53</xdr:row>
      <xdr:rowOff>9525</xdr:rowOff>
    </xdr:to>
    <xdr:sp macro="" textlink="">
      <xdr:nvSpPr>
        <xdr:cNvPr id="23529" name="Line 2087">
          <a:extLst>
            <a:ext uri="{FF2B5EF4-FFF2-40B4-BE49-F238E27FC236}">
              <a16:creationId xmlns:a16="http://schemas.microsoft.com/office/drawing/2014/main" id="{00000000-0008-0000-0000-0000E95B0000}"/>
            </a:ext>
          </a:extLst>
        </xdr:cNvPr>
        <xdr:cNvSpPr>
          <a:spLocks noChangeShapeType="1"/>
        </xdr:cNvSpPr>
      </xdr:nvSpPr>
      <xdr:spPr bwMode="auto">
        <a:xfrm>
          <a:off x="3629025" y="1102995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51</xdr:row>
      <xdr:rowOff>0</xdr:rowOff>
    </xdr:from>
    <xdr:to>
      <xdr:col>19</xdr:col>
      <xdr:colOff>0</xdr:colOff>
      <xdr:row>53</xdr:row>
      <xdr:rowOff>0</xdr:rowOff>
    </xdr:to>
    <xdr:sp macro="" textlink="">
      <xdr:nvSpPr>
        <xdr:cNvPr id="23530" name="Line 2088">
          <a:extLst>
            <a:ext uri="{FF2B5EF4-FFF2-40B4-BE49-F238E27FC236}">
              <a16:creationId xmlns:a16="http://schemas.microsoft.com/office/drawing/2014/main" id="{00000000-0008-0000-0000-0000EA5B0000}"/>
            </a:ext>
          </a:extLst>
        </xdr:cNvPr>
        <xdr:cNvSpPr>
          <a:spLocks noChangeShapeType="1"/>
        </xdr:cNvSpPr>
      </xdr:nvSpPr>
      <xdr:spPr bwMode="auto">
        <a:xfrm>
          <a:off x="4029075" y="11029950"/>
          <a:ext cx="0" cy="400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0</xdr:colOff>
      <xdr:row>51</xdr:row>
      <xdr:rowOff>0</xdr:rowOff>
    </xdr:from>
    <xdr:to>
      <xdr:col>21</xdr:col>
      <xdr:colOff>0</xdr:colOff>
      <xdr:row>52</xdr:row>
      <xdr:rowOff>190500</xdr:rowOff>
    </xdr:to>
    <xdr:sp macro="" textlink="">
      <xdr:nvSpPr>
        <xdr:cNvPr id="23531" name="Line 2089">
          <a:extLst>
            <a:ext uri="{FF2B5EF4-FFF2-40B4-BE49-F238E27FC236}">
              <a16:creationId xmlns:a16="http://schemas.microsoft.com/office/drawing/2014/main" id="{00000000-0008-0000-0000-0000EB5B0000}"/>
            </a:ext>
          </a:extLst>
        </xdr:cNvPr>
        <xdr:cNvSpPr>
          <a:spLocks noChangeShapeType="1"/>
        </xdr:cNvSpPr>
      </xdr:nvSpPr>
      <xdr:spPr bwMode="auto">
        <a:xfrm>
          <a:off x="4505325" y="11029950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51</xdr:row>
      <xdr:rowOff>0</xdr:rowOff>
    </xdr:from>
    <xdr:to>
      <xdr:col>23</xdr:col>
      <xdr:colOff>0</xdr:colOff>
      <xdr:row>53</xdr:row>
      <xdr:rowOff>9525</xdr:rowOff>
    </xdr:to>
    <xdr:sp macro="" textlink="">
      <xdr:nvSpPr>
        <xdr:cNvPr id="23532" name="Line 2090">
          <a:extLst>
            <a:ext uri="{FF2B5EF4-FFF2-40B4-BE49-F238E27FC236}">
              <a16:creationId xmlns:a16="http://schemas.microsoft.com/office/drawing/2014/main" id="{00000000-0008-0000-0000-0000EC5B0000}"/>
            </a:ext>
          </a:extLst>
        </xdr:cNvPr>
        <xdr:cNvSpPr>
          <a:spLocks noChangeShapeType="1"/>
        </xdr:cNvSpPr>
      </xdr:nvSpPr>
      <xdr:spPr bwMode="auto">
        <a:xfrm>
          <a:off x="4943475" y="1102995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51</xdr:row>
      <xdr:rowOff>0</xdr:rowOff>
    </xdr:from>
    <xdr:to>
      <xdr:col>25</xdr:col>
      <xdr:colOff>0</xdr:colOff>
      <xdr:row>53</xdr:row>
      <xdr:rowOff>0</xdr:rowOff>
    </xdr:to>
    <xdr:sp macro="" textlink="">
      <xdr:nvSpPr>
        <xdr:cNvPr id="23533" name="Line 2091">
          <a:extLst>
            <a:ext uri="{FF2B5EF4-FFF2-40B4-BE49-F238E27FC236}">
              <a16:creationId xmlns:a16="http://schemas.microsoft.com/office/drawing/2014/main" id="{00000000-0008-0000-0000-0000ED5B0000}"/>
            </a:ext>
          </a:extLst>
        </xdr:cNvPr>
        <xdr:cNvSpPr>
          <a:spLocks noChangeShapeType="1"/>
        </xdr:cNvSpPr>
      </xdr:nvSpPr>
      <xdr:spPr bwMode="auto">
        <a:xfrm>
          <a:off x="5381625" y="11029950"/>
          <a:ext cx="0" cy="400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51</xdr:row>
      <xdr:rowOff>0</xdr:rowOff>
    </xdr:from>
    <xdr:to>
      <xdr:col>27</xdr:col>
      <xdr:colOff>0</xdr:colOff>
      <xdr:row>53</xdr:row>
      <xdr:rowOff>0</xdr:rowOff>
    </xdr:to>
    <xdr:sp macro="" textlink="">
      <xdr:nvSpPr>
        <xdr:cNvPr id="23534" name="Line 2092">
          <a:extLst>
            <a:ext uri="{FF2B5EF4-FFF2-40B4-BE49-F238E27FC236}">
              <a16:creationId xmlns:a16="http://schemas.microsoft.com/office/drawing/2014/main" id="{00000000-0008-0000-0000-0000EE5B0000}"/>
            </a:ext>
          </a:extLst>
        </xdr:cNvPr>
        <xdr:cNvSpPr>
          <a:spLocks noChangeShapeType="1"/>
        </xdr:cNvSpPr>
      </xdr:nvSpPr>
      <xdr:spPr bwMode="auto">
        <a:xfrm>
          <a:off x="5781675" y="11029950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51</xdr:row>
      <xdr:rowOff>0</xdr:rowOff>
    </xdr:from>
    <xdr:to>
      <xdr:col>29</xdr:col>
      <xdr:colOff>0</xdr:colOff>
      <xdr:row>52</xdr:row>
      <xdr:rowOff>190500</xdr:rowOff>
    </xdr:to>
    <xdr:sp macro="" textlink="">
      <xdr:nvSpPr>
        <xdr:cNvPr id="23535" name="Line 2093">
          <a:extLst>
            <a:ext uri="{FF2B5EF4-FFF2-40B4-BE49-F238E27FC236}">
              <a16:creationId xmlns:a16="http://schemas.microsoft.com/office/drawing/2014/main" id="{00000000-0008-0000-0000-0000EF5B0000}"/>
            </a:ext>
          </a:extLst>
        </xdr:cNvPr>
        <xdr:cNvSpPr>
          <a:spLocks noChangeShapeType="1"/>
        </xdr:cNvSpPr>
      </xdr:nvSpPr>
      <xdr:spPr bwMode="auto">
        <a:xfrm>
          <a:off x="6257925" y="11029950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51</xdr:row>
      <xdr:rowOff>0</xdr:rowOff>
    </xdr:from>
    <xdr:to>
      <xdr:col>31</xdr:col>
      <xdr:colOff>0</xdr:colOff>
      <xdr:row>53</xdr:row>
      <xdr:rowOff>0</xdr:rowOff>
    </xdr:to>
    <xdr:sp macro="" textlink="">
      <xdr:nvSpPr>
        <xdr:cNvPr id="23536" name="Line 2094">
          <a:extLst>
            <a:ext uri="{FF2B5EF4-FFF2-40B4-BE49-F238E27FC236}">
              <a16:creationId xmlns:a16="http://schemas.microsoft.com/office/drawing/2014/main" id="{00000000-0008-0000-0000-0000F05B0000}"/>
            </a:ext>
          </a:extLst>
        </xdr:cNvPr>
        <xdr:cNvSpPr>
          <a:spLocks noChangeShapeType="1"/>
        </xdr:cNvSpPr>
      </xdr:nvSpPr>
      <xdr:spPr bwMode="auto">
        <a:xfrm>
          <a:off x="6696075" y="11029950"/>
          <a:ext cx="0" cy="4000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42</xdr:row>
      <xdr:rowOff>0</xdr:rowOff>
    </xdr:from>
    <xdr:to>
      <xdr:col>23</xdr:col>
      <xdr:colOff>0</xdr:colOff>
      <xdr:row>42</xdr:row>
      <xdr:rowOff>228600</xdr:rowOff>
    </xdr:to>
    <xdr:sp macro="" textlink="">
      <xdr:nvSpPr>
        <xdr:cNvPr id="23537" name="Line 2096">
          <a:extLst>
            <a:ext uri="{FF2B5EF4-FFF2-40B4-BE49-F238E27FC236}">
              <a16:creationId xmlns:a16="http://schemas.microsoft.com/office/drawing/2014/main" id="{00000000-0008-0000-0000-0000F15B0000}"/>
            </a:ext>
          </a:extLst>
        </xdr:cNvPr>
        <xdr:cNvSpPr>
          <a:spLocks noChangeShapeType="1"/>
        </xdr:cNvSpPr>
      </xdr:nvSpPr>
      <xdr:spPr bwMode="auto">
        <a:xfrm>
          <a:off x="4943475" y="8972550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42</xdr:row>
      <xdr:rowOff>0</xdr:rowOff>
    </xdr:from>
    <xdr:to>
      <xdr:col>25</xdr:col>
      <xdr:colOff>0</xdr:colOff>
      <xdr:row>43</xdr:row>
      <xdr:rowOff>0</xdr:rowOff>
    </xdr:to>
    <xdr:sp macro="" textlink="">
      <xdr:nvSpPr>
        <xdr:cNvPr id="23538" name="Line 2097">
          <a:extLst>
            <a:ext uri="{FF2B5EF4-FFF2-40B4-BE49-F238E27FC236}">
              <a16:creationId xmlns:a16="http://schemas.microsoft.com/office/drawing/2014/main" id="{00000000-0008-0000-0000-0000F25B0000}"/>
            </a:ext>
          </a:extLst>
        </xdr:cNvPr>
        <xdr:cNvSpPr>
          <a:spLocks noChangeShapeType="1"/>
        </xdr:cNvSpPr>
      </xdr:nvSpPr>
      <xdr:spPr bwMode="auto">
        <a:xfrm>
          <a:off x="5381625" y="897255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51</xdr:row>
      <xdr:rowOff>0</xdr:rowOff>
    </xdr:from>
    <xdr:to>
      <xdr:col>33</xdr:col>
      <xdr:colOff>0</xdr:colOff>
      <xdr:row>53</xdr:row>
      <xdr:rowOff>0</xdr:rowOff>
    </xdr:to>
    <xdr:sp macro="" textlink="">
      <xdr:nvSpPr>
        <xdr:cNvPr id="23539" name="Line 2099">
          <a:extLst>
            <a:ext uri="{FF2B5EF4-FFF2-40B4-BE49-F238E27FC236}">
              <a16:creationId xmlns:a16="http://schemas.microsoft.com/office/drawing/2014/main" id="{00000000-0008-0000-0000-0000F35B0000}"/>
            </a:ext>
          </a:extLst>
        </xdr:cNvPr>
        <xdr:cNvSpPr>
          <a:spLocks noChangeShapeType="1"/>
        </xdr:cNvSpPr>
      </xdr:nvSpPr>
      <xdr:spPr bwMode="auto">
        <a:xfrm>
          <a:off x="7134225" y="11029950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66</xdr:row>
      <xdr:rowOff>19050</xdr:rowOff>
    </xdr:from>
    <xdr:to>
      <xdr:col>2</xdr:col>
      <xdr:colOff>266700</xdr:colOff>
      <xdr:row>66</xdr:row>
      <xdr:rowOff>247650</xdr:rowOff>
    </xdr:to>
    <xdr:grpSp>
      <xdr:nvGrpSpPr>
        <xdr:cNvPr id="23540" name="三角4">
          <a:extLst>
            <a:ext uri="{FF2B5EF4-FFF2-40B4-BE49-F238E27FC236}">
              <a16:creationId xmlns:a16="http://schemas.microsoft.com/office/drawing/2014/main" id="{00000000-0008-0000-0000-0000F45B0000}"/>
            </a:ext>
          </a:extLst>
        </xdr:cNvPr>
        <xdr:cNvGrpSpPr>
          <a:grpSpLocks/>
        </xdr:cNvGrpSpPr>
      </xdr:nvGrpSpPr>
      <xdr:grpSpPr bwMode="auto">
        <a:xfrm>
          <a:off x="333375" y="15563850"/>
          <a:ext cx="247650" cy="228600"/>
          <a:chOff x="-27" y="-7407563"/>
          <a:chExt cx="26" cy="43632"/>
        </a:xfrm>
      </xdr:grpSpPr>
      <xdr:sp macro="" textlink="">
        <xdr:nvSpPr>
          <xdr:cNvPr id="23638" name="Line 743">
            <a:extLst>
              <a:ext uri="{FF2B5EF4-FFF2-40B4-BE49-F238E27FC236}">
                <a16:creationId xmlns:a16="http://schemas.microsoft.com/office/drawing/2014/main" id="{00000000-0008-0000-0000-0000565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-27" y="-7407563"/>
            <a:ext cx="13" cy="4363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3639" name="Group 744">
            <a:extLst>
              <a:ext uri="{FF2B5EF4-FFF2-40B4-BE49-F238E27FC236}">
                <a16:creationId xmlns:a16="http://schemas.microsoft.com/office/drawing/2014/main" id="{00000000-0008-0000-0000-0000575C0000}"/>
              </a:ext>
            </a:extLst>
          </xdr:cNvPr>
          <xdr:cNvGrpSpPr>
            <a:grpSpLocks/>
          </xdr:cNvGrpSpPr>
        </xdr:nvGrpSpPr>
        <xdr:grpSpPr bwMode="auto">
          <a:xfrm>
            <a:off x="-27" y="-7407563"/>
            <a:ext cx="26" cy="43632"/>
            <a:chOff x="0" y="0"/>
            <a:chExt cx="20000" cy="20000"/>
          </a:xfrm>
        </xdr:grpSpPr>
        <xdr:sp macro="" textlink="">
          <xdr:nvSpPr>
            <xdr:cNvPr id="23640" name="Line 745">
              <a:extLst>
                <a:ext uri="{FF2B5EF4-FFF2-40B4-BE49-F238E27FC236}">
                  <a16:creationId xmlns:a16="http://schemas.microsoft.com/office/drawing/2014/main" id="{00000000-0008-0000-0000-0000585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0" y="20000"/>
              <a:ext cx="20000" cy="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641" name="Line 746">
              <a:extLst>
                <a:ext uri="{FF2B5EF4-FFF2-40B4-BE49-F238E27FC236}">
                  <a16:creationId xmlns:a16="http://schemas.microsoft.com/office/drawing/2014/main" id="{00000000-0008-0000-0000-0000595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00" y="0"/>
              <a:ext cx="10000" cy="2000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2</xdr:col>
      <xdr:colOff>19050</xdr:colOff>
      <xdr:row>67</xdr:row>
      <xdr:rowOff>19050</xdr:rowOff>
    </xdr:from>
    <xdr:to>
      <xdr:col>2</xdr:col>
      <xdr:colOff>266700</xdr:colOff>
      <xdr:row>67</xdr:row>
      <xdr:rowOff>247650</xdr:rowOff>
    </xdr:to>
    <xdr:grpSp>
      <xdr:nvGrpSpPr>
        <xdr:cNvPr id="23541" name="三角5">
          <a:extLst>
            <a:ext uri="{FF2B5EF4-FFF2-40B4-BE49-F238E27FC236}">
              <a16:creationId xmlns:a16="http://schemas.microsoft.com/office/drawing/2014/main" id="{00000000-0008-0000-0000-0000F55B0000}"/>
            </a:ext>
          </a:extLst>
        </xdr:cNvPr>
        <xdr:cNvGrpSpPr>
          <a:grpSpLocks/>
        </xdr:cNvGrpSpPr>
      </xdr:nvGrpSpPr>
      <xdr:grpSpPr bwMode="auto">
        <a:xfrm>
          <a:off x="333375" y="15840075"/>
          <a:ext cx="247650" cy="228600"/>
          <a:chOff x="-27" y="-7407568"/>
          <a:chExt cx="26" cy="43632"/>
        </a:xfrm>
      </xdr:grpSpPr>
      <xdr:sp macro="" textlink="">
        <xdr:nvSpPr>
          <xdr:cNvPr id="23634" name="Line 748">
            <a:extLst>
              <a:ext uri="{FF2B5EF4-FFF2-40B4-BE49-F238E27FC236}">
                <a16:creationId xmlns:a16="http://schemas.microsoft.com/office/drawing/2014/main" id="{00000000-0008-0000-0000-0000525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-27" y="-7407568"/>
            <a:ext cx="13" cy="4363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3635" name="Group 749">
            <a:extLst>
              <a:ext uri="{FF2B5EF4-FFF2-40B4-BE49-F238E27FC236}">
                <a16:creationId xmlns:a16="http://schemas.microsoft.com/office/drawing/2014/main" id="{00000000-0008-0000-0000-0000535C0000}"/>
              </a:ext>
            </a:extLst>
          </xdr:cNvPr>
          <xdr:cNvGrpSpPr>
            <a:grpSpLocks/>
          </xdr:cNvGrpSpPr>
        </xdr:nvGrpSpPr>
        <xdr:grpSpPr bwMode="auto">
          <a:xfrm>
            <a:off x="-27" y="-7407568"/>
            <a:ext cx="26" cy="43632"/>
            <a:chOff x="0" y="0"/>
            <a:chExt cx="20000" cy="20000"/>
          </a:xfrm>
        </xdr:grpSpPr>
        <xdr:sp macro="" textlink="">
          <xdr:nvSpPr>
            <xdr:cNvPr id="23636" name="Line 750">
              <a:extLst>
                <a:ext uri="{FF2B5EF4-FFF2-40B4-BE49-F238E27FC236}">
                  <a16:creationId xmlns:a16="http://schemas.microsoft.com/office/drawing/2014/main" id="{00000000-0008-0000-0000-0000545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0" y="20000"/>
              <a:ext cx="20000" cy="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637" name="Line 751">
              <a:extLst>
                <a:ext uri="{FF2B5EF4-FFF2-40B4-BE49-F238E27FC236}">
                  <a16:creationId xmlns:a16="http://schemas.microsoft.com/office/drawing/2014/main" id="{00000000-0008-0000-0000-0000555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00" y="0"/>
              <a:ext cx="10000" cy="2000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11</xdr:col>
      <xdr:colOff>0</xdr:colOff>
      <xdr:row>54</xdr:row>
      <xdr:rowOff>9525</xdr:rowOff>
    </xdr:from>
    <xdr:to>
      <xdr:col>11</xdr:col>
      <xdr:colOff>0</xdr:colOff>
      <xdr:row>68</xdr:row>
      <xdr:rowOff>0</xdr:rowOff>
    </xdr:to>
    <xdr:sp macro="" textlink="">
      <xdr:nvSpPr>
        <xdr:cNvPr id="23542" name="Line 477">
          <a:extLst>
            <a:ext uri="{FF2B5EF4-FFF2-40B4-BE49-F238E27FC236}">
              <a16:creationId xmlns:a16="http://schemas.microsoft.com/office/drawing/2014/main" id="{00000000-0008-0000-0000-0000F65B0000}"/>
            </a:ext>
          </a:extLst>
        </xdr:cNvPr>
        <xdr:cNvSpPr>
          <a:spLocks noChangeShapeType="1"/>
        </xdr:cNvSpPr>
      </xdr:nvSpPr>
      <xdr:spPr bwMode="auto">
        <a:xfrm>
          <a:off x="2314575" y="12192000"/>
          <a:ext cx="0" cy="39052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54</xdr:row>
      <xdr:rowOff>9525</xdr:rowOff>
    </xdr:from>
    <xdr:to>
      <xdr:col>25</xdr:col>
      <xdr:colOff>0</xdr:colOff>
      <xdr:row>62</xdr:row>
      <xdr:rowOff>0</xdr:rowOff>
    </xdr:to>
    <xdr:sp macro="" textlink="">
      <xdr:nvSpPr>
        <xdr:cNvPr id="23543" name="Line 480">
          <a:extLst>
            <a:ext uri="{FF2B5EF4-FFF2-40B4-BE49-F238E27FC236}">
              <a16:creationId xmlns:a16="http://schemas.microsoft.com/office/drawing/2014/main" id="{00000000-0008-0000-0000-0000F75B0000}"/>
            </a:ext>
          </a:extLst>
        </xdr:cNvPr>
        <xdr:cNvSpPr>
          <a:spLocks noChangeShapeType="1"/>
        </xdr:cNvSpPr>
      </xdr:nvSpPr>
      <xdr:spPr bwMode="auto">
        <a:xfrm>
          <a:off x="5381625" y="12192000"/>
          <a:ext cx="0" cy="22193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55</xdr:row>
      <xdr:rowOff>0</xdr:rowOff>
    </xdr:from>
    <xdr:to>
      <xdr:col>39</xdr:col>
      <xdr:colOff>0</xdr:colOff>
      <xdr:row>55</xdr:row>
      <xdr:rowOff>0</xdr:rowOff>
    </xdr:to>
    <xdr:sp macro="" textlink="">
      <xdr:nvSpPr>
        <xdr:cNvPr id="23544" name="Line 515">
          <a:extLst>
            <a:ext uri="{FF2B5EF4-FFF2-40B4-BE49-F238E27FC236}">
              <a16:creationId xmlns:a16="http://schemas.microsoft.com/office/drawing/2014/main" id="{00000000-0008-0000-0000-0000F85B0000}"/>
            </a:ext>
          </a:extLst>
        </xdr:cNvPr>
        <xdr:cNvSpPr>
          <a:spLocks noChangeShapeType="1"/>
        </xdr:cNvSpPr>
      </xdr:nvSpPr>
      <xdr:spPr bwMode="auto">
        <a:xfrm>
          <a:off x="304800" y="12477750"/>
          <a:ext cx="78390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62</xdr:row>
      <xdr:rowOff>0</xdr:rowOff>
    </xdr:from>
    <xdr:to>
      <xdr:col>57</xdr:col>
      <xdr:colOff>228600</xdr:colOff>
      <xdr:row>62</xdr:row>
      <xdr:rowOff>0</xdr:rowOff>
    </xdr:to>
    <xdr:sp macro="" textlink="">
      <xdr:nvSpPr>
        <xdr:cNvPr id="23545" name="Line 521">
          <a:extLst>
            <a:ext uri="{FF2B5EF4-FFF2-40B4-BE49-F238E27FC236}">
              <a16:creationId xmlns:a16="http://schemas.microsoft.com/office/drawing/2014/main" id="{00000000-0008-0000-0000-0000F95B0000}"/>
            </a:ext>
          </a:extLst>
        </xdr:cNvPr>
        <xdr:cNvSpPr>
          <a:spLocks noChangeShapeType="1"/>
        </xdr:cNvSpPr>
      </xdr:nvSpPr>
      <xdr:spPr bwMode="auto">
        <a:xfrm>
          <a:off x="0" y="14411325"/>
          <a:ext cx="11049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62</xdr:row>
      <xdr:rowOff>304800</xdr:rowOff>
    </xdr:from>
    <xdr:to>
      <xdr:col>43</xdr:col>
      <xdr:colOff>9525</xdr:colOff>
      <xdr:row>62</xdr:row>
      <xdr:rowOff>304800</xdr:rowOff>
    </xdr:to>
    <xdr:sp macro="" textlink="">
      <xdr:nvSpPr>
        <xdr:cNvPr id="23546" name="Line 522">
          <a:extLst>
            <a:ext uri="{FF2B5EF4-FFF2-40B4-BE49-F238E27FC236}">
              <a16:creationId xmlns:a16="http://schemas.microsoft.com/office/drawing/2014/main" id="{00000000-0008-0000-0000-0000FA5B0000}"/>
            </a:ext>
          </a:extLst>
        </xdr:cNvPr>
        <xdr:cNvSpPr>
          <a:spLocks noChangeShapeType="1"/>
        </xdr:cNvSpPr>
      </xdr:nvSpPr>
      <xdr:spPr bwMode="auto">
        <a:xfrm>
          <a:off x="304800" y="14716125"/>
          <a:ext cx="84582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0</xdr:colOff>
      <xdr:row>58</xdr:row>
      <xdr:rowOff>0</xdr:rowOff>
    </xdr:from>
    <xdr:to>
      <xdr:col>36</xdr:col>
      <xdr:colOff>0</xdr:colOff>
      <xdr:row>62</xdr:row>
      <xdr:rowOff>0</xdr:rowOff>
    </xdr:to>
    <xdr:sp macro="" textlink="">
      <xdr:nvSpPr>
        <xdr:cNvPr id="23547" name="Line 524">
          <a:extLst>
            <a:ext uri="{FF2B5EF4-FFF2-40B4-BE49-F238E27FC236}">
              <a16:creationId xmlns:a16="http://schemas.microsoft.com/office/drawing/2014/main" id="{00000000-0008-0000-0000-0000FB5B0000}"/>
            </a:ext>
          </a:extLst>
        </xdr:cNvPr>
        <xdr:cNvSpPr>
          <a:spLocks noChangeShapeType="1"/>
        </xdr:cNvSpPr>
      </xdr:nvSpPr>
      <xdr:spPr bwMode="auto">
        <a:xfrm flipV="1">
          <a:off x="7686675" y="13306425"/>
          <a:ext cx="0" cy="11049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</xdr:colOff>
      <xdr:row>62</xdr:row>
      <xdr:rowOff>57150</xdr:rowOff>
    </xdr:from>
    <xdr:to>
      <xdr:col>1</xdr:col>
      <xdr:colOff>57150</xdr:colOff>
      <xdr:row>67</xdr:row>
      <xdr:rowOff>180975</xdr:rowOff>
    </xdr:to>
    <xdr:sp macro="" textlink="">
      <xdr:nvSpPr>
        <xdr:cNvPr id="1553" name="テキスト 529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 txBox="1">
          <a:spLocks noChangeArrowheads="1"/>
        </xdr:cNvSpPr>
      </xdr:nvSpPr>
      <xdr:spPr bwMode="auto">
        <a:xfrm>
          <a:off x="19050" y="14468475"/>
          <a:ext cx="257175" cy="15335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vert="wordArtVertRtl" wrap="square" lIns="27432" tIns="0" rIns="0" bIns="0" anchor="b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改 訂 履 歴</a:t>
          </a:r>
        </a:p>
      </xdr:txBody>
    </xdr:sp>
    <xdr:clientData/>
  </xdr:twoCellAnchor>
  <xdr:twoCellAnchor>
    <xdr:from>
      <xdr:col>3</xdr:col>
      <xdr:colOff>0</xdr:colOff>
      <xdr:row>62</xdr:row>
      <xdr:rowOff>0</xdr:rowOff>
    </xdr:from>
    <xdr:to>
      <xdr:col>3</xdr:col>
      <xdr:colOff>0</xdr:colOff>
      <xdr:row>68</xdr:row>
      <xdr:rowOff>0</xdr:rowOff>
    </xdr:to>
    <xdr:sp macro="" textlink="">
      <xdr:nvSpPr>
        <xdr:cNvPr id="23549" name="Line 530">
          <a:extLst>
            <a:ext uri="{FF2B5EF4-FFF2-40B4-BE49-F238E27FC236}">
              <a16:creationId xmlns:a16="http://schemas.microsoft.com/office/drawing/2014/main" id="{00000000-0008-0000-0000-0000FD5B0000}"/>
            </a:ext>
          </a:extLst>
        </xdr:cNvPr>
        <xdr:cNvSpPr>
          <a:spLocks noChangeShapeType="1"/>
        </xdr:cNvSpPr>
      </xdr:nvSpPr>
      <xdr:spPr bwMode="auto">
        <a:xfrm>
          <a:off x="590550" y="14411325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62</xdr:row>
      <xdr:rowOff>0</xdr:rowOff>
    </xdr:from>
    <xdr:to>
      <xdr:col>6</xdr:col>
      <xdr:colOff>0</xdr:colOff>
      <xdr:row>68</xdr:row>
      <xdr:rowOff>0</xdr:rowOff>
    </xdr:to>
    <xdr:sp macro="" textlink="">
      <xdr:nvSpPr>
        <xdr:cNvPr id="23550" name="Line 532">
          <a:extLst>
            <a:ext uri="{FF2B5EF4-FFF2-40B4-BE49-F238E27FC236}">
              <a16:creationId xmlns:a16="http://schemas.microsoft.com/office/drawing/2014/main" id="{00000000-0008-0000-0000-0000FE5B0000}"/>
            </a:ext>
          </a:extLst>
        </xdr:cNvPr>
        <xdr:cNvSpPr>
          <a:spLocks noChangeShapeType="1"/>
        </xdr:cNvSpPr>
      </xdr:nvSpPr>
      <xdr:spPr bwMode="auto">
        <a:xfrm>
          <a:off x="1219200" y="14411325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62</xdr:row>
      <xdr:rowOff>0</xdr:rowOff>
    </xdr:from>
    <xdr:to>
      <xdr:col>30</xdr:col>
      <xdr:colOff>0</xdr:colOff>
      <xdr:row>68</xdr:row>
      <xdr:rowOff>0</xdr:rowOff>
    </xdr:to>
    <xdr:sp macro="" textlink="">
      <xdr:nvSpPr>
        <xdr:cNvPr id="23551" name="Line 535">
          <a:extLst>
            <a:ext uri="{FF2B5EF4-FFF2-40B4-BE49-F238E27FC236}">
              <a16:creationId xmlns:a16="http://schemas.microsoft.com/office/drawing/2014/main" id="{00000000-0008-0000-0000-0000FF5B0000}"/>
            </a:ext>
          </a:extLst>
        </xdr:cNvPr>
        <xdr:cNvSpPr>
          <a:spLocks noChangeShapeType="1"/>
        </xdr:cNvSpPr>
      </xdr:nvSpPr>
      <xdr:spPr bwMode="auto">
        <a:xfrm>
          <a:off x="6477000" y="14411325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9525</xdr:colOff>
      <xdr:row>62</xdr:row>
      <xdr:rowOff>0</xdr:rowOff>
    </xdr:from>
    <xdr:to>
      <xdr:col>43</xdr:col>
      <xdr:colOff>9525</xdr:colOff>
      <xdr:row>68</xdr:row>
      <xdr:rowOff>0</xdr:rowOff>
    </xdr:to>
    <xdr:sp macro="" textlink="">
      <xdr:nvSpPr>
        <xdr:cNvPr id="23552" name="Line 537">
          <a:extLst>
            <a:ext uri="{FF2B5EF4-FFF2-40B4-BE49-F238E27FC236}">
              <a16:creationId xmlns:a16="http://schemas.microsoft.com/office/drawing/2014/main" id="{00000000-0008-0000-0000-0000005C0000}"/>
            </a:ext>
          </a:extLst>
        </xdr:cNvPr>
        <xdr:cNvSpPr>
          <a:spLocks noChangeShapeType="1"/>
        </xdr:cNvSpPr>
      </xdr:nvSpPr>
      <xdr:spPr bwMode="auto">
        <a:xfrm>
          <a:off x="8763000" y="14411325"/>
          <a:ext cx="0" cy="1685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42</xdr:col>
      <xdr:colOff>142875</xdr:colOff>
      <xdr:row>62</xdr:row>
      <xdr:rowOff>0</xdr:rowOff>
    </xdr:from>
    <xdr:ext cx="228600" cy="1543050"/>
    <xdr:sp macro="" textlink="">
      <xdr:nvSpPr>
        <xdr:cNvPr id="18004" name="テキスト 538">
          <a:extLst>
            <a:ext uri="{FF2B5EF4-FFF2-40B4-BE49-F238E27FC236}">
              <a16:creationId xmlns:a16="http://schemas.microsoft.com/office/drawing/2014/main" id="{00000000-0008-0000-0000-000054460000}"/>
            </a:ext>
          </a:extLst>
        </xdr:cNvPr>
        <xdr:cNvSpPr txBox="1">
          <a:spLocks noChangeArrowheads="1"/>
        </xdr:cNvSpPr>
      </xdr:nvSpPr>
      <xdr:spPr bwMode="auto">
        <a:xfrm>
          <a:off x="8743950" y="14411325"/>
          <a:ext cx="228600" cy="15430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="wordArtVertRtl" wrap="none" lIns="27432" tIns="0" rIns="27432" bIns="0" anchor="ctr" upright="1">
          <a:spAutoFit/>
        </a:bodyPr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４Ｍノウハウ記録欄</a:t>
          </a:r>
        </a:p>
      </xdr:txBody>
    </xdr:sp>
    <xdr:clientData/>
  </xdr:oneCellAnchor>
  <xdr:twoCellAnchor>
    <xdr:from>
      <xdr:col>44</xdr:col>
      <xdr:colOff>66675</xdr:colOff>
      <xdr:row>62</xdr:row>
      <xdr:rowOff>0</xdr:rowOff>
    </xdr:from>
    <xdr:to>
      <xdr:col>44</xdr:col>
      <xdr:colOff>66675</xdr:colOff>
      <xdr:row>68</xdr:row>
      <xdr:rowOff>0</xdr:rowOff>
    </xdr:to>
    <xdr:sp macro="" textlink="">
      <xdr:nvSpPr>
        <xdr:cNvPr id="23554" name="Line 539">
          <a:extLst>
            <a:ext uri="{FF2B5EF4-FFF2-40B4-BE49-F238E27FC236}">
              <a16:creationId xmlns:a16="http://schemas.microsoft.com/office/drawing/2014/main" id="{00000000-0008-0000-0000-0000025C0000}"/>
            </a:ext>
          </a:extLst>
        </xdr:cNvPr>
        <xdr:cNvSpPr>
          <a:spLocks noChangeShapeType="1"/>
        </xdr:cNvSpPr>
      </xdr:nvSpPr>
      <xdr:spPr bwMode="auto">
        <a:xfrm>
          <a:off x="8972550" y="14411325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</xdr:colOff>
      <xdr:row>63</xdr:row>
      <xdr:rowOff>0</xdr:rowOff>
    </xdr:from>
    <xdr:to>
      <xdr:col>58</xdr:col>
      <xdr:colOff>0</xdr:colOff>
      <xdr:row>63</xdr:row>
      <xdr:rowOff>0</xdr:rowOff>
    </xdr:to>
    <xdr:sp macro="" textlink="">
      <xdr:nvSpPr>
        <xdr:cNvPr id="23555" name="Line 540">
          <a:extLst>
            <a:ext uri="{FF2B5EF4-FFF2-40B4-BE49-F238E27FC236}">
              <a16:creationId xmlns:a16="http://schemas.microsoft.com/office/drawing/2014/main" id="{00000000-0008-0000-0000-0000035C0000}"/>
            </a:ext>
          </a:extLst>
        </xdr:cNvPr>
        <xdr:cNvSpPr>
          <a:spLocks noChangeShapeType="1"/>
        </xdr:cNvSpPr>
      </xdr:nvSpPr>
      <xdr:spPr bwMode="auto">
        <a:xfrm>
          <a:off x="8972550" y="14716125"/>
          <a:ext cx="207645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76200</xdr:colOff>
      <xdr:row>62</xdr:row>
      <xdr:rowOff>0</xdr:rowOff>
    </xdr:from>
    <xdr:to>
      <xdr:col>48</xdr:col>
      <xdr:colOff>28575</xdr:colOff>
      <xdr:row>63</xdr:row>
      <xdr:rowOff>0</xdr:rowOff>
    </xdr:to>
    <xdr:sp macro="" textlink="">
      <xdr:nvSpPr>
        <xdr:cNvPr id="1565" name="テキスト 541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 txBox="1">
          <a:spLocks noChangeArrowheads="1"/>
        </xdr:cNvSpPr>
      </xdr:nvSpPr>
      <xdr:spPr bwMode="auto">
        <a:xfrm>
          <a:off x="8982075" y="14411325"/>
          <a:ext cx="561975" cy="3048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年・月・日</a:t>
          </a:r>
        </a:p>
      </xdr:txBody>
    </xdr:sp>
    <xdr:clientData/>
  </xdr:twoCellAnchor>
  <xdr:twoCellAnchor>
    <xdr:from>
      <xdr:col>51</xdr:col>
      <xdr:colOff>152400</xdr:colOff>
      <xdr:row>62</xdr:row>
      <xdr:rowOff>9525</xdr:rowOff>
    </xdr:from>
    <xdr:to>
      <xdr:col>51</xdr:col>
      <xdr:colOff>152400</xdr:colOff>
      <xdr:row>68</xdr:row>
      <xdr:rowOff>9525</xdr:rowOff>
    </xdr:to>
    <xdr:sp macro="" textlink="">
      <xdr:nvSpPr>
        <xdr:cNvPr id="23557" name="Line 542">
          <a:extLst>
            <a:ext uri="{FF2B5EF4-FFF2-40B4-BE49-F238E27FC236}">
              <a16:creationId xmlns:a16="http://schemas.microsoft.com/office/drawing/2014/main" id="{00000000-0008-0000-0000-0000055C0000}"/>
            </a:ext>
          </a:extLst>
        </xdr:cNvPr>
        <xdr:cNvSpPr>
          <a:spLocks noChangeShapeType="1"/>
        </xdr:cNvSpPr>
      </xdr:nvSpPr>
      <xdr:spPr bwMode="auto">
        <a:xfrm>
          <a:off x="10125075" y="14420850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62</xdr:row>
      <xdr:rowOff>9525</xdr:rowOff>
    </xdr:from>
    <xdr:to>
      <xdr:col>48</xdr:col>
      <xdr:colOff>0</xdr:colOff>
      <xdr:row>68</xdr:row>
      <xdr:rowOff>9525</xdr:rowOff>
    </xdr:to>
    <xdr:sp macro="" textlink="">
      <xdr:nvSpPr>
        <xdr:cNvPr id="23558" name="Line 543">
          <a:extLst>
            <a:ext uri="{FF2B5EF4-FFF2-40B4-BE49-F238E27FC236}">
              <a16:creationId xmlns:a16="http://schemas.microsoft.com/office/drawing/2014/main" id="{00000000-0008-0000-0000-0000065C0000}"/>
            </a:ext>
          </a:extLst>
        </xdr:cNvPr>
        <xdr:cNvSpPr>
          <a:spLocks noChangeShapeType="1"/>
        </xdr:cNvSpPr>
      </xdr:nvSpPr>
      <xdr:spPr bwMode="auto">
        <a:xfrm>
          <a:off x="9515475" y="14420850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56</xdr:row>
      <xdr:rowOff>0</xdr:rowOff>
    </xdr:from>
    <xdr:to>
      <xdr:col>39</xdr:col>
      <xdr:colOff>0</xdr:colOff>
      <xdr:row>56</xdr:row>
      <xdr:rowOff>0</xdr:rowOff>
    </xdr:to>
    <xdr:sp macro="" textlink="">
      <xdr:nvSpPr>
        <xdr:cNvPr id="23559" name="Line 556">
          <a:extLst>
            <a:ext uri="{FF2B5EF4-FFF2-40B4-BE49-F238E27FC236}">
              <a16:creationId xmlns:a16="http://schemas.microsoft.com/office/drawing/2014/main" id="{00000000-0008-0000-0000-0000075C0000}"/>
            </a:ext>
          </a:extLst>
        </xdr:cNvPr>
        <xdr:cNvSpPr>
          <a:spLocks noChangeShapeType="1"/>
        </xdr:cNvSpPr>
      </xdr:nvSpPr>
      <xdr:spPr bwMode="auto">
        <a:xfrm>
          <a:off x="304800" y="12753975"/>
          <a:ext cx="78390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57</xdr:row>
      <xdr:rowOff>0</xdr:rowOff>
    </xdr:from>
    <xdr:to>
      <xdr:col>39</xdr:col>
      <xdr:colOff>0</xdr:colOff>
      <xdr:row>57</xdr:row>
      <xdr:rowOff>0</xdr:rowOff>
    </xdr:to>
    <xdr:sp macro="" textlink="">
      <xdr:nvSpPr>
        <xdr:cNvPr id="23560" name="Line 557">
          <a:extLst>
            <a:ext uri="{FF2B5EF4-FFF2-40B4-BE49-F238E27FC236}">
              <a16:creationId xmlns:a16="http://schemas.microsoft.com/office/drawing/2014/main" id="{00000000-0008-0000-0000-0000085C0000}"/>
            </a:ext>
          </a:extLst>
        </xdr:cNvPr>
        <xdr:cNvSpPr>
          <a:spLocks noChangeShapeType="1"/>
        </xdr:cNvSpPr>
      </xdr:nvSpPr>
      <xdr:spPr bwMode="auto">
        <a:xfrm>
          <a:off x="304800" y="13030200"/>
          <a:ext cx="78390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59</xdr:row>
      <xdr:rowOff>0</xdr:rowOff>
    </xdr:from>
    <xdr:to>
      <xdr:col>39</xdr:col>
      <xdr:colOff>0</xdr:colOff>
      <xdr:row>59</xdr:row>
      <xdr:rowOff>0</xdr:rowOff>
    </xdr:to>
    <xdr:sp macro="" textlink="">
      <xdr:nvSpPr>
        <xdr:cNvPr id="23561" name="Line 559">
          <a:extLst>
            <a:ext uri="{FF2B5EF4-FFF2-40B4-BE49-F238E27FC236}">
              <a16:creationId xmlns:a16="http://schemas.microsoft.com/office/drawing/2014/main" id="{00000000-0008-0000-0000-0000095C0000}"/>
            </a:ext>
          </a:extLst>
        </xdr:cNvPr>
        <xdr:cNvSpPr>
          <a:spLocks noChangeShapeType="1"/>
        </xdr:cNvSpPr>
      </xdr:nvSpPr>
      <xdr:spPr bwMode="auto">
        <a:xfrm>
          <a:off x="304800" y="13582650"/>
          <a:ext cx="78390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60</xdr:row>
      <xdr:rowOff>0</xdr:rowOff>
    </xdr:from>
    <xdr:to>
      <xdr:col>39</xdr:col>
      <xdr:colOff>0</xdr:colOff>
      <xdr:row>60</xdr:row>
      <xdr:rowOff>0</xdr:rowOff>
    </xdr:to>
    <xdr:sp macro="" textlink="">
      <xdr:nvSpPr>
        <xdr:cNvPr id="23562" name="Line 560">
          <a:extLst>
            <a:ext uri="{FF2B5EF4-FFF2-40B4-BE49-F238E27FC236}">
              <a16:creationId xmlns:a16="http://schemas.microsoft.com/office/drawing/2014/main" id="{00000000-0008-0000-0000-00000A5C0000}"/>
            </a:ext>
          </a:extLst>
        </xdr:cNvPr>
        <xdr:cNvSpPr>
          <a:spLocks noChangeShapeType="1"/>
        </xdr:cNvSpPr>
      </xdr:nvSpPr>
      <xdr:spPr bwMode="auto">
        <a:xfrm>
          <a:off x="304800" y="13858875"/>
          <a:ext cx="78390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61</xdr:row>
      <xdr:rowOff>0</xdr:rowOff>
    </xdr:from>
    <xdr:to>
      <xdr:col>39</xdr:col>
      <xdr:colOff>0</xdr:colOff>
      <xdr:row>61</xdr:row>
      <xdr:rowOff>0</xdr:rowOff>
    </xdr:to>
    <xdr:sp macro="" textlink="">
      <xdr:nvSpPr>
        <xdr:cNvPr id="23563" name="Line 561">
          <a:extLst>
            <a:ext uri="{FF2B5EF4-FFF2-40B4-BE49-F238E27FC236}">
              <a16:creationId xmlns:a16="http://schemas.microsoft.com/office/drawing/2014/main" id="{00000000-0008-0000-0000-00000B5C0000}"/>
            </a:ext>
          </a:extLst>
        </xdr:cNvPr>
        <xdr:cNvSpPr>
          <a:spLocks noChangeShapeType="1"/>
        </xdr:cNvSpPr>
      </xdr:nvSpPr>
      <xdr:spPr bwMode="auto">
        <a:xfrm>
          <a:off x="304800" y="14135100"/>
          <a:ext cx="78390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63</xdr:row>
      <xdr:rowOff>276225</xdr:rowOff>
    </xdr:from>
    <xdr:to>
      <xdr:col>43</xdr:col>
      <xdr:colOff>9525</xdr:colOff>
      <xdr:row>63</xdr:row>
      <xdr:rowOff>276225</xdr:rowOff>
    </xdr:to>
    <xdr:sp macro="" textlink="">
      <xdr:nvSpPr>
        <xdr:cNvPr id="23564" name="Line 568">
          <a:extLst>
            <a:ext uri="{FF2B5EF4-FFF2-40B4-BE49-F238E27FC236}">
              <a16:creationId xmlns:a16="http://schemas.microsoft.com/office/drawing/2014/main" id="{00000000-0008-0000-0000-00000C5C0000}"/>
            </a:ext>
          </a:extLst>
        </xdr:cNvPr>
        <xdr:cNvSpPr>
          <a:spLocks noChangeShapeType="1"/>
        </xdr:cNvSpPr>
      </xdr:nvSpPr>
      <xdr:spPr bwMode="auto">
        <a:xfrm>
          <a:off x="304800" y="14992350"/>
          <a:ext cx="84582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64</xdr:row>
      <xdr:rowOff>276225</xdr:rowOff>
    </xdr:from>
    <xdr:to>
      <xdr:col>43</xdr:col>
      <xdr:colOff>9525</xdr:colOff>
      <xdr:row>64</xdr:row>
      <xdr:rowOff>276225</xdr:rowOff>
    </xdr:to>
    <xdr:sp macro="" textlink="">
      <xdr:nvSpPr>
        <xdr:cNvPr id="23565" name="Line 569">
          <a:extLst>
            <a:ext uri="{FF2B5EF4-FFF2-40B4-BE49-F238E27FC236}">
              <a16:creationId xmlns:a16="http://schemas.microsoft.com/office/drawing/2014/main" id="{00000000-0008-0000-0000-00000D5C0000}"/>
            </a:ext>
          </a:extLst>
        </xdr:cNvPr>
        <xdr:cNvSpPr>
          <a:spLocks noChangeShapeType="1"/>
        </xdr:cNvSpPr>
      </xdr:nvSpPr>
      <xdr:spPr bwMode="auto">
        <a:xfrm>
          <a:off x="304800" y="15268575"/>
          <a:ext cx="84582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65</xdr:row>
      <xdr:rowOff>276225</xdr:rowOff>
    </xdr:from>
    <xdr:to>
      <xdr:col>43</xdr:col>
      <xdr:colOff>9525</xdr:colOff>
      <xdr:row>65</xdr:row>
      <xdr:rowOff>276225</xdr:rowOff>
    </xdr:to>
    <xdr:sp macro="" textlink="">
      <xdr:nvSpPr>
        <xdr:cNvPr id="23566" name="Line 570">
          <a:extLst>
            <a:ext uri="{FF2B5EF4-FFF2-40B4-BE49-F238E27FC236}">
              <a16:creationId xmlns:a16="http://schemas.microsoft.com/office/drawing/2014/main" id="{00000000-0008-0000-0000-00000E5C0000}"/>
            </a:ext>
          </a:extLst>
        </xdr:cNvPr>
        <xdr:cNvSpPr>
          <a:spLocks noChangeShapeType="1"/>
        </xdr:cNvSpPr>
      </xdr:nvSpPr>
      <xdr:spPr bwMode="auto">
        <a:xfrm>
          <a:off x="304800" y="15544800"/>
          <a:ext cx="84582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66</xdr:row>
      <xdr:rowOff>276225</xdr:rowOff>
    </xdr:from>
    <xdr:to>
      <xdr:col>43</xdr:col>
      <xdr:colOff>9525</xdr:colOff>
      <xdr:row>66</xdr:row>
      <xdr:rowOff>276225</xdr:rowOff>
    </xdr:to>
    <xdr:sp macro="" textlink="">
      <xdr:nvSpPr>
        <xdr:cNvPr id="23567" name="Line 571">
          <a:extLst>
            <a:ext uri="{FF2B5EF4-FFF2-40B4-BE49-F238E27FC236}">
              <a16:creationId xmlns:a16="http://schemas.microsoft.com/office/drawing/2014/main" id="{00000000-0008-0000-0000-00000F5C0000}"/>
            </a:ext>
          </a:extLst>
        </xdr:cNvPr>
        <xdr:cNvSpPr>
          <a:spLocks noChangeShapeType="1"/>
        </xdr:cNvSpPr>
      </xdr:nvSpPr>
      <xdr:spPr bwMode="auto">
        <a:xfrm>
          <a:off x="304800" y="15821025"/>
          <a:ext cx="84582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38100</xdr:colOff>
      <xdr:row>58</xdr:row>
      <xdr:rowOff>219075</xdr:rowOff>
    </xdr:from>
    <xdr:to>
      <xdr:col>57</xdr:col>
      <xdr:colOff>57150</xdr:colOff>
      <xdr:row>62</xdr:row>
      <xdr:rowOff>19050</xdr:rowOff>
    </xdr:to>
    <xdr:sp macro="" textlink="">
      <xdr:nvSpPr>
        <xdr:cNvPr id="1597" name="テキスト 573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 txBox="1">
          <a:spLocks noChangeArrowheads="1"/>
        </xdr:cNvSpPr>
      </xdr:nvSpPr>
      <xdr:spPr bwMode="auto">
        <a:xfrm>
          <a:off x="8334375" y="13525500"/>
          <a:ext cx="2609850" cy="904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加工した歯面にキズ、黒皮が無いか 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必ず確認すること。</a:t>
          </a:r>
        </a:p>
        <a:p>
          <a:pPr algn="l" rtl="0">
            <a:lnSpc>
              <a:spcPts val="13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3</xdr:col>
      <xdr:colOff>285750</xdr:colOff>
      <xdr:row>57</xdr:row>
      <xdr:rowOff>0</xdr:rowOff>
    </xdr:from>
    <xdr:to>
      <xdr:col>3</xdr:col>
      <xdr:colOff>190500</xdr:colOff>
      <xdr:row>57</xdr:row>
      <xdr:rowOff>0</xdr:rowOff>
    </xdr:to>
    <xdr:sp macro="" textlink="">
      <xdr:nvSpPr>
        <xdr:cNvPr id="1707" name="テキスト 683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 txBox="1">
          <a:spLocks noChangeArrowheads="1"/>
        </xdr:cNvSpPr>
      </xdr:nvSpPr>
      <xdr:spPr bwMode="auto">
        <a:xfrm>
          <a:off x="781050" y="130302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改</a:t>
          </a:r>
        </a:p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44</xdr:col>
      <xdr:colOff>66675</xdr:colOff>
      <xdr:row>63</xdr:row>
      <xdr:rowOff>0</xdr:rowOff>
    </xdr:from>
    <xdr:to>
      <xdr:col>58</xdr:col>
      <xdr:colOff>0</xdr:colOff>
      <xdr:row>68</xdr:row>
      <xdr:rowOff>0</xdr:rowOff>
    </xdr:to>
    <xdr:sp macro="" textlink="">
      <xdr:nvSpPr>
        <xdr:cNvPr id="23570" name="Line 1017">
          <a:extLst>
            <a:ext uri="{FF2B5EF4-FFF2-40B4-BE49-F238E27FC236}">
              <a16:creationId xmlns:a16="http://schemas.microsoft.com/office/drawing/2014/main" id="{00000000-0008-0000-0000-0000125C0000}"/>
            </a:ext>
          </a:extLst>
        </xdr:cNvPr>
        <xdr:cNvSpPr>
          <a:spLocks noChangeShapeType="1"/>
        </xdr:cNvSpPr>
      </xdr:nvSpPr>
      <xdr:spPr bwMode="auto">
        <a:xfrm>
          <a:off x="8972550" y="14716125"/>
          <a:ext cx="2076450" cy="13811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0</xdr:colOff>
      <xdr:row>58</xdr:row>
      <xdr:rowOff>0</xdr:rowOff>
    </xdr:from>
    <xdr:to>
      <xdr:col>39</xdr:col>
      <xdr:colOff>0</xdr:colOff>
      <xdr:row>62</xdr:row>
      <xdr:rowOff>0</xdr:rowOff>
    </xdr:to>
    <xdr:sp macro="" textlink="">
      <xdr:nvSpPr>
        <xdr:cNvPr id="23571" name="Line 1019">
          <a:extLst>
            <a:ext uri="{FF2B5EF4-FFF2-40B4-BE49-F238E27FC236}">
              <a16:creationId xmlns:a16="http://schemas.microsoft.com/office/drawing/2014/main" id="{00000000-0008-0000-0000-0000135C0000}"/>
            </a:ext>
          </a:extLst>
        </xdr:cNvPr>
        <xdr:cNvSpPr>
          <a:spLocks noChangeShapeType="1"/>
        </xdr:cNvSpPr>
      </xdr:nvSpPr>
      <xdr:spPr bwMode="auto">
        <a:xfrm>
          <a:off x="8143875" y="13306425"/>
          <a:ext cx="0" cy="1104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63</xdr:row>
      <xdr:rowOff>19050</xdr:rowOff>
    </xdr:from>
    <xdr:to>
      <xdr:col>2</xdr:col>
      <xdr:colOff>257175</xdr:colOff>
      <xdr:row>63</xdr:row>
      <xdr:rowOff>247650</xdr:rowOff>
    </xdr:to>
    <xdr:grpSp>
      <xdr:nvGrpSpPr>
        <xdr:cNvPr id="23572" name="三角1" hidden="1">
          <a:extLst>
            <a:ext uri="{FF2B5EF4-FFF2-40B4-BE49-F238E27FC236}">
              <a16:creationId xmlns:a16="http://schemas.microsoft.com/office/drawing/2014/main" id="{00000000-0008-0000-0000-0000145C0000}"/>
            </a:ext>
          </a:extLst>
        </xdr:cNvPr>
        <xdr:cNvGrpSpPr>
          <a:grpSpLocks/>
        </xdr:cNvGrpSpPr>
      </xdr:nvGrpSpPr>
      <xdr:grpSpPr bwMode="auto">
        <a:xfrm>
          <a:off x="323850" y="14735175"/>
          <a:ext cx="247650" cy="228600"/>
          <a:chOff x="-28" y="-7407547"/>
          <a:chExt cx="26" cy="43632"/>
        </a:xfrm>
      </xdr:grpSpPr>
      <xdr:sp macro="" textlink="">
        <xdr:nvSpPr>
          <xdr:cNvPr id="23630" name="Line 1166" hidden="1">
            <a:extLst>
              <a:ext uri="{FF2B5EF4-FFF2-40B4-BE49-F238E27FC236}">
                <a16:creationId xmlns:a16="http://schemas.microsoft.com/office/drawing/2014/main" id="{00000000-0008-0000-0000-00004E5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-28" y="-7407547"/>
            <a:ext cx="13" cy="4363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3631" name="Group 1167" hidden="1">
            <a:extLst>
              <a:ext uri="{FF2B5EF4-FFF2-40B4-BE49-F238E27FC236}">
                <a16:creationId xmlns:a16="http://schemas.microsoft.com/office/drawing/2014/main" id="{00000000-0008-0000-0000-00004F5C0000}"/>
              </a:ext>
            </a:extLst>
          </xdr:cNvPr>
          <xdr:cNvGrpSpPr>
            <a:grpSpLocks/>
          </xdr:cNvGrpSpPr>
        </xdr:nvGrpSpPr>
        <xdr:grpSpPr bwMode="auto">
          <a:xfrm>
            <a:off x="-28" y="-7407547"/>
            <a:ext cx="26" cy="43632"/>
            <a:chOff x="0" y="0"/>
            <a:chExt cx="20000" cy="20000"/>
          </a:xfrm>
        </xdr:grpSpPr>
        <xdr:sp macro="" textlink="">
          <xdr:nvSpPr>
            <xdr:cNvPr id="23632" name="Line 1168" hidden="1">
              <a:extLst>
                <a:ext uri="{FF2B5EF4-FFF2-40B4-BE49-F238E27FC236}">
                  <a16:creationId xmlns:a16="http://schemas.microsoft.com/office/drawing/2014/main" id="{00000000-0008-0000-0000-0000505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0" y="20000"/>
              <a:ext cx="20000" cy="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633" name="Line 1169" hidden="1">
              <a:extLst>
                <a:ext uri="{FF2B5EF4-FFF2-40B4-BE49-F238E27FC236}">
                  <a16:creationId xmlns:a16="http://schemas.microsoft.com/office/drawing/2014/main" id="{00000000-0008-0000-0000-0000515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00" y="0"/>
              <a:ext cx="10000" cy="2000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2</xdr:col>
      <xdr:colOff>9525</xdr:colOff>
      <xdr:row>64</xdr:row>
      <xdr:rowOff>9525</xdr:rowOff>
    </xdr:from>
    <xdr:to>
      <xdr:col>2</xdr:col>
      <xdr:colOff>257175</xdr:colOff>
      <xdr:row>64</xdr:row>
      <xdr:rowOff>238125</xdr:rowOff>
    </xdr:to>
    <xdr:grpSp>
      <xdr:nvGrpSpPr>
        <xdr:cNvPr id="23573" name="三角2">
          <a:extLst>
            <a:ext uri="{FF2B5EF4-FFF2-40B4-BE49-F238E27FC236}">
              <a16:creationId xmlns:a16="http://schemas.microsoft.com/office/drawing/2014/main" id="{00000000-0008-0000-0000-0000155C0000}"/>
            </a:ext>
          </a:extLst>
        </xdr:cNvPr>
        <xdr:cNvGrpSpPr>
          <a:grpSpLocks/>
        </xdr:cNvGrpSpPr>
      </xdr:nvGrpSpPr>
      <xdr:grpSpPr bwMode="auto">
        <a:xfrm>
          <a:off x="323850" y="15001875"/>
          <a:ext cx="247650" cy="228600"/>
          <a:chOff x="-28" y="-4066000"/>
          <a:chExt cx="26" cy="24000"/>
        </a:xfrm>
      </xdr:grpSpPr>
      <xdr:sp macro="" textlink="">
        <xdr:nvSpPr>
          <xdr:cNvPr id="23626" name="Line 1180">
            <a:extLst>
              <a:ext uri="{FF2B5EF4-FFF2-40B4-BE49-F238E27FC236}">
                <a16:creationId xmlns:a16="http://schemas.microsoft.com/office/drawing/2014/main" id="{00000000-0008-0000-0000-00004A5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-28" y="-4066000"/>
            <a:ext cx="13" cy="2400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3627" name="Group 1181">
            <a:extLst>
              <a:ext uri="{FF2B5EF4-FFF2-40B4-BE49-F238E27FC236}">
                <a16:creationId xmlns:a16="http://schemas.microsoft.com/office/drawing/2014/main" id="{00000000-0008-0000-0000-00004B5C0000}"/>
              </a:ext>
            </a:extLst>
          </xdr:cNvPr>
          <xdr:cNvGrpSpPr>
            <a:grpSpLocks/>
          </xdr:cNvGrpSpPr>
        </xdr:nvGrpSpPr>
        <xdr:grpSpPr bwMode="auto">
          <a:xfrm>
            <a:off x="-28" y="-4066000"/>
            <a:ext cx="26" cy="24000"/>
            <a:chOff x="0" y="0"/>
            <a:chExt cx="20000" cy="20000"/>
          </a:xfrm>
        </xdr:grpSpPr>
        <xdr:sp macro="" textlink="">
          <xdr:nvSpPr>
            <xdr:cNvPr id="23628" name="Line 1182">
              <a:extLst>
                <a:ext uri="{FF2B5EF4-FFF2-40B4-BE49-F238E27FC236}">
                  <a16:creationId xmlns:a16="http://schemas.microsoft.com/office/drawing/2014/main" id="{00000000-0008-0000-0000-00004C5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0" y="20000"/>
              <a:ext cx="20000" cy="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629" name="Line 1183">
              <a:extLst>
                <a:ext uri="{FF2B5EF4-FFF2-40B4-BE49-F238E27FC236}">
                  <a16:creationId xmlns:a16="http://schemas.microsoft.com/office/drawing/2014/main" id="{00000000-0008-0000-0000-00004D5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00" y="0"/>
              <a:ext cx="10000" cy="2000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2</xdr:col>
      <xdr:colOff>9525</xdr:colOff>
      <xdr:row>65</xdr:row>
      <xdr:rowOff>19050</xdr:rowOff>
    </xdr:from>
    <xdr:to>
      <xdr:col>2</xdr:col>
      <xdr:colOff>257175</xdr:colOff>
      <xdr:row>65</xdr:row>
      <xdr:rowOff>247650</xdr:rowOff>
    </xdr:to>
    <xdr:grpSp>
      <xdr:nvGrpSpPr>
        <xdr:cNvPr id="23574" name="三角3">
          <a:extLst>
            <a:ext uri="{FF2B5EF4-FFF2-40B4-BE49-F238E27FC236}">
              <a16:creationId xmlns:a16="http://schemas.microsoft.com/office/drawing/2014/main" id="{00000000-0008-0000-0000-0000165C0000}"/>
            </a:ext>
          </a:extLst>
        </xdr:cNvPr>
        <xdr:cNvGrpSpPr>
          <a:grpSpLocks/>
        </xdr:cNvGrpSpPr>
      </xdr:nvGrpSpPr>
      <xdr:grpSpPr bwMode="auto">
        <a:xfrm>
          <a:off x="323850" y="15287625"/>
          <a:ext cx="247650" cy="228600"/>
          <a:chOff x="-28" y="-7407558"/>
          <a:chExt cx="26" cy="43632"/>
        </a:xfrm>
      </xdr:grpSpPr>
      <xdr:sp macro="" textlink="">
        <xdr:nvSpPr>
          <xdr:cNvPr id="23622" name="Line 1185">
            <a:extLst>
              <a:ext uri="{FF2B5EF4-FFF2-40B4-BE49-F238E27FC236}">
                <a16:creationId xmlns:a16="http://schemas.microsoft.com/office/drawing/2014/main" id="{00000000-0008-0000-0000-0000465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-28" y="-7407558"/>
            <a:ext cx="13" cy="4363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3623" name="Group 1186">
            <a:extLst>
              <a:ext uri="{FF2B5EF4-FFF2-40B4-BE49-F238E27FC236}">
                <a16:creationId xmlns:a16="http://schemas.microsoft.com/office/drawing/2014/main" id="{00000000-0008-0000-0000-0000475C0000}"/>
              </a:ext>
            </a:extLst>
          </xdr:cNvPr>
          <xdr:cNvGrpSpPr>
            <a:grpSpLocks/>
          </xdr:cNvGrpSpPr>
        </xdr:nvGrpSpPr>
        <xdr:grpSpPr bwMode="auto">
          <a:xfrm>
            <a:off x="-28" y="-7407558"/>
            <a:ext cx="26" cy="43632"/>
            <a:chOff x="0" y="0"/>
            <a:chExt cx="20000" cy="20000"/>
          </a:xfrm>
        </xdr:grpSpPr>
        <xdr:sp macro="" textlink="">
          <xdr:nvSpPr>
            <xdr:cNvPr id="23624" name="Line 1187">
              <a:extLst>
                <a:ext uri="{FF2B5EF4-FFF2-40B4-BE49-F238E27FC236}">
                  <a16:creationId xmlns:a16="http://schemas.microsoft.com/office/drawing/2014/main" id="{00000000-0008-0000-0000-0000485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0" y="20000"/>
              <a:ext cx="20000" cy="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625" name="Line 1188">
              <a:extLst>
                <a:ext uri="{FF2B5EF4-FFF2-40B4-BE49-F238E27FC236}">
                  <a16:creationId xmlns:a16="http://schemas.microsoft.com/office/drawing/2014/main" id="{00000000-0008-0000-0000-0000495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00" y="0"/>
              <a:ext cx="10000" cy="2000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17</xdr:col>
      <xdr:colOff>0</xdr:colOff>
      <xdr:row>62</xdr:row>
      <xdr:rowOff>0</xdr:rowOff>
    </xdr:from>
    <xdr:to>
      <xdr:col>17</xdr:col>
      <xdr:colOff>0</xdr:colOff>
      <xdr:row>68</xdr:row>
      <xdr:rowOff>0</xdr:rowOff>
    </xdr:to>
    <xdr:sp macro="" textlink="">
      <xdr:nvSpPr>
        <xdr:cNvPr id="23575" name="Line 1725">
          <a:extLst>
            <a:ext uri="{FF2B5EF4-FFF2-40B4-BE49-F238E27FC236}">
              <a16:creationId xmlns:a16="http://schemas.microsoft.com/office/drawing/2014/main" id="{00000000-0008-0000-0000-0000175C0000}"/>
            </a:ext>
          </a:extLst>
        </xdr:cNvPr>
        <xdr:cNvSpPr>
          <a:spLocks noChangeShapeType="1"/>
        </xdr:cNvSpPr>
      </xdr:nvSpPr>
      <xdr:spPr bwMode="auto">
        <a:xfrm>
          <a:off x="3629025" y="14411325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247650</xdr:colOff>
      <xdr:row>62</xdr:row>
      <xdr:rowOff>0</xdr:rowOff>
    </xdr:from>
    <xdr:to>
      <xdr:col>33</xdr:col>
      <xdr:colOff>247650</xdr:colOff>
      <xdr:row>68</xdr:row>
      <xdr:rowOff>0</xdr:rowOff>
    </xdr:to>
    <xdr:sp macro="" textlink="">
      <xdr:nvSpPr>
        <xdr:cNvPr id="23576" name="Line 1726">
          <a:extLst>
            <a:ext uri="{FF2B5EF4-FFF2-40B4-BE49-F238E27FC236}">
              <a16:creationId xmlns:a16="http://schemas.microsoft.com/office/drawing/2014/main" id="{00000000-0008-0000-0000-0000185C0000}"/>
            </a:ext>
          </a:extLst>
        </xdr:cNvPr>
        <xdr:cNvSpPr>
          <a:spLocks noChangeShapeType="1"/>
        </xdr:cNvSpPr>
      </xdr:nvSpPr>
      <xdr:spPr bwMode="auto">
        <a:xfrm>
          <a:off x="7381875" y="14411325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152400</xdr:colOff>
      <xdr:row>62</xdr:row>
      <xdr:rowOff>0</xdr:rowOff>
    </xdr:from>
    <xdr:to>
      <xdr:col>36</xdr:col>
      <xdr:colOff>152400</xdr:colOff>
      <xdr:row>68</xdr:row>
      <xdr:rowOff>0</xdr:rowOff>
    </xdr:to>
    <xdr:sp macro="" textlink="">
      <xdr:nvSpPr>
        <xdr:cNvPr id="23577" name="Line 1727">
          <a:extLst>
            <a:ext uri="{FF2B5EF4-FFF2-40B4-BE49-F238E27FC236}">
              <a16:creationId xmlns:a16="http://schemas.microsoft.com/office/drawing/2014/main" id="{00000000-0008-0000-0000-0000195C0000}"/>
            </a:ext>
          </a:extLst>
        </xdr:cNvPr>
        <xdr:cNvSpPr>
          <a:spLocks noChangeShapeType="1"/>
        </xdr:cNvSpPr>
      </xdr:nvSpPr>
      <xdr:spPr bwMode="auto">
        <a:xfrm>
          <a:off x="7839075" y="14411325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62</xdr:row>
      <xdr:rowOff>0</xdr:rowOff>
    </xdr:from>
    <xdr:to>
      <xdr:col>40</xdr:col>
      <xdr:colOff>0</xdr:colOff>
      <xdr:row>68</xdr:row>
      <xdr:rowOff>0</xdr:rowOff>
    </xdr:to>
    <xdr:sp macro="" textlink="">
      <xdr:nvSpPr>
        <xdr:cNvPr id="23578" name="Line 1728">
          <a:extLst>
            <a:ext uri="{FF2B5EF4-FFF2-40B4-BE49-F238E27FC236}">
              <a16:creationId xmlns:a16="http://schemas.microsoft.com/office/drawing/2014/main" id="{00000000-0008-0000-0000-00001A5C0000}"/>
            </a:ext>
          </a:extLst>
        </xdr:cNvPr>
        <xdr:cNvSpPr>
          <a:spLocks noChangeShapeType="1"/>
        </xdr:cNvSpPr>
      </xdr:nvSpPr>
      <xdr:spPr bwMode="auto">
        <a:xfrm>
          <a:off x="8296275" y="14411325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62</xdr:row>
      <xdr:rowOff>0</xdr:rowOff>
    </xdr:from>
    <xdr:to>
      <xdr:col>32</xdr:col>
      <xdr:colOff>0</xdr:colOff>
      <xdr:row>68</xdr:row>
      <xdr:rowOff>0</xdr:rowOff>
    </xdr:to>
    <xdr:sp macro="" textlink="">
      <xdr:nvSpPr>
        <xdr:cNvPr id="23579" name="Line 1737">
          <a:extLst>
            <a:ext uri="{FF2B5EF4-FFF2-40B4-BE49-F238E27FC236}">
              <a16:creationId xmlns:a16="http://schemas.microsoft.com/office/drawing/2014/main" id="{00000000-0008-0000-0000-00001B5C0000}"/>
            </a:ext>
          </a:extLst>
        </xdr:cNvPr>
        <xdr:cNvSpPr>
          <a:spLocks noChangeShapeType="1"/>
        </xdr:cNvSpPr>
      </xdr:nvSpPr>
      <xdr:spPr bwMode="auto">
        <a:xfrm>
          <a:off x="6915150" y="14411325"/>
          <a:ext cx="0" cy="1685925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59</xdr:row>
      <xdr:rowOff>0</xdr:rowOff>
    </xdr:from>
    <xdr:to>
      <xdr:col>39</xdr:col>
      <xdr:colOff>0</xdr:colOff>
      <xdr:row>59</xdr:row>
      <xdr:rowOff>0</xdr:rowOff>
    </xdr:to>
    <xdr:sp macro="" textlink="">
      <xdr:nvSpPr>
        <xdr:cNvPr id="23580" name="Line 2052">
          <a:extLst>
            <a:ext uri="{FF2B5EF4-FFF2-40B4-BE49-F238E27FC236}">
              <a16:creationId xmlns:a16="http://schemas.microsoft.com/office/drawing/2014/main" id="{00000000-0008-0000-0000-00001C5C0000}"/>
            </a:ext>
          </a:extLst>
        </xdr:cNvPr>
        <xdr:cNvSpPr>
          <a:spLocks noChangeShapeType="1"/>
        </xdr:cNvSpPr>
      </xdr:nvSpPr>
      <xdr:spPr bwMode="auto">
        <a:xfrm>
          <a:off x="304800" y="13582650"/>
          <a:ext cx="78390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60</xdr:row>
      <xdr:rowOff>0</xdr:rowOff>
    </xdr:from>
    <xdr:to>
      <xdr:col>39</xdr:col>
      <xdr:colOff>0</xdr:colOff>
      <xdr:row>60</xdr:row>
      <xdr:rowOff>0</xdr:rowOff>
    </xdr:to>
    <xdr:sp macro="" textlink="">
      <xdr:nvSpPr>
        <xdr:cNvPr id="23581" name="Line 2053">
          <a:extLst>
            <a:ext uri="{FF2B5EF4-FFF2-40B4-BE49-F238E27FC236}">
              <a16:creationId xmlns:a16="http://schemas.microsoft.com/office/drawing/2014/main" id="{00000000-0008-0000-0000-00001D5C0000}"/>
            </a:ext>
          </a:extLst>
        </xdr:cNvPr>
        <xdr:cNvSpPr>
          <a:spLocks noChangeShapeType="1"/>
        </xdr:cNvSpPr>
      </xdr:nvSpPr>
      <xdr:spPr bwMode="auto">
        <a:xfrm>
          <a:off x="304800" y="13858875"/>
          <a:ext cx="78390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61</xdr:row>
      <xdr:rowOff>0</xdr:rowOff>
    </xdr:from>
    <xdr:to>
      <xdr:col>39</xdr:col>
      <xdr:colOff>0</xdr:colOff>
      <xdr:row>61</xdr:row>
      <xdr:rowOff>0</xdr:rowOff>
    </xdr:to>
    <xdr:sp macro="" textlink="">
      <xdr:nvSpPr>
        <xdr:cNvPr id="23582" name="Line 2054">
          <a:extLst>
            <a:ext uri="{FF2B5EF4-FFF2-40B4-BE49-F238E27FC236}">
              <a16:creationId xmlns:a16="http://schemas.microsoft.com/office/drawing/2014/main" id="{00000000-0008-0000-0000-00001E5C0000}"/>
            </a:ext>
          </a:extLst>
        </xdr:cNvPr>
        <xdr:cNvSpPr>
          <a:spLocks noChangeShapeType="1"/>
        </xdr:cNvSpPr>
      </xdr:nvSpPr>
      <xdr:spPr bwMode="auto">
        <a:xfrm>
          <a:off x="304800" y="14135100"/>
          <a:ext cx="7839075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285750</xdr:colOff>
      <xdr:row>61</xdr:row>
      <xdr:rowOff>0</xdr:rowOff>
    </xdr:from>
    <xdr:to>
      <xdr:col>3</xdr:col>
      <xdr:colOff>190500</xdr:colOff>
      <xdr:row>61</xdr:row>
      <xdr:rowOff>0</xdr:rowOff>
    </xdr:to>
    <xdr:sp macro="" textlink="">
      <xdr:nvSpPr>
        <xdr:cNvPr id="6151" name="テキスト 683">
          <a:extLst>
            <a:ext uri="{FF2B5EF4-FFF2-40B4-BE49-F238E27FC236}">
              <a16:creationId xmlns:a16="http://schemas.microsoft.com/office/drawing/2014/main" id="{00000000-0008-0000-0000-000007180000}"/>
            </a:ext>
          </a:extLst>
        </xdr:cNvPr>
        <xdr:cNvSpPr txBox="1">
          <a:spLocks noChangeArrowheads="1"/>
        </xdr:cNvSpPr>
      </xdr:nvSpPr>
      <xdr:spPr bwMode="auto">
        <a:xfrm>
          <a:off x="781050" y="141351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改</a:t>
          </a:r>
        </a:p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85725</xdr:colOff>
      <xdr:row>55</xdr:row>
      <xdr:rowOff>0</xdr:rowOff>
    </xdr:from>
    <xdr:to>
      <xdr:col>57</xdr:col>
      <xdr:colOff>228600</xdr:colOff>
      <xdr:row>55</xdr:row>
      <xdr:rowOff>0</xdr:rowOff>
    </xdr:to>
    <xdr:sp macro="" textlink="">
      <xdr:nvSpPr>
        <xdr:cNvPr id="23584" name="Line 2056">
          <a:extLst>
            <a:ext uri="{FF2B5EF4-FFF2-40B4-BE49-F238E27FC236}">
              <a16:creationId xmlns:a16="http://schemas.microsoft.com/office/drawing/2014/main" id="{00000000-0008-0000-0000-0000205C0000}"/>
            </a:ext>
          </a:extLst>
        </xdr:cNvPr>
        <xdr:cNvSpPr>
          <a:spLocks noChangeShapeType="1"/>
        </xdr:cNvSpPr>
      </xdr:nvSpPr>
      <xdr:spPr bwMode="auto">
        <a:xfrm>
          <a:off x="304800" y="12477750"/>
          <a:ext cx="107442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54</xdr:row>
      <xdr:rowOff>0</xdr:rowOff>
    </xdr:from>
    <xdr:to>
      <xdr:col>49</xdr:col>
      <xdr:colOff>0</xdr:colOff>
      <xdr:row>57</xdr:row>
      <xdr:rowOff>257175</xdr:rowOff>
    </xdr:to>
    <xdr:sp macro="" textlink="">
      <xdr:nvSpPr>
        <xdr:cNvPr id="23585" name="Line 2057">
          <a:extLst>
            <a:ext uri="{FF2B5EF4-FFF2-40B4-BE49-F238E27FC236}">
              <a16:creationId xmlns:a16="http://schemas.microsoft.com/office/drawing/2014/main" id="{00000000-0008-0000-0000-0000215C0000}"/>
            </a:ext>
          </a:extLst>
        </xdr:cNvPr>
        <xdr:cNvSpPr>
          <a:spLocks noChangeShapeType="1"/>
        </xdr:cNvSpPr>
      </xdr:nvSpPr>
      <xdr:spPr bwMode="auto">
        <a:xfrm>
          <a:off x="9667875" y="12182475"/>
          <a:ext cx="0" cy="110490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56</xdr:row>
      <xdr:rowOff>0</xdr:rowOff>
    </xdr:from>
    <xdr:to>
      <xdr:col>57</xdr:col>
      <xdr:colOff>228600</xdr:colOff>
      <xdr:row>56</xdr:row>
      <xdr:rowOff>0</xdr:rowOff>
    </xdr:to>
    <xdr:sp macro="" textlink="">
      <xdr:nvSpPr>
        <xdr:cNvPr id="23586" name="Line 2058">
          <a:extLst>
            <a:ext uri="{FF2B5EF4-FFF2-40B4-BE49-F238E27FC236}">
              <a16:creationId xmlns:a16="http://schemas.microsoft.com/office/drawing/2014/main" id="{00000000-0008-0000-0000-0000225C0000}"/>
            </a:ext>
          </a:extLst>
        </xdr:cNvPr>
        <xdr:cNvSpPr>
          <a:spLocks noChangeShapeType="1"/>
        </xdr:cNvSpPr>
      </xdr:nvSpPr>
      <xdr:spPr bwMode="auto">
        <a:xfrm>
          <a:off x="304800" y="12753975"/>
          <a:ext cx="107442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57</xdr:row>
      <xdr:rowOff>0</xdr:rowOff>
    </xdr:from>
    <xdr:to>
      <xdr:col>57</xdr:col>
      <xdr:colOff>228600</xdr:colOff>
      <xdr:row>57</xdr:row>
      <xdr:rowOff>0</xdr:rowOff>
    </xdr:to>
    <xdr:sp macro="" textlink="">
      <xdr:nvSpPr>
        <xdr:cNvPr id="23587" name="Line 2059">
          <a:extLst>
            <a:ext uri="{FF2B5EF4-FFF2-40B4-BE49-F238E27FC236}">
              <a16:creationId xmlns:a16="http://schemas.microsoft.com/office/drawing/2014/main" id="{00000000-0008-0000-0000-0000235C0000}"/>
            </a:ext>
          </a:extLst>
        </xdr:cNvPr>
        <xdr:cNvSpPr>
          <a:spLocks noChangeShapeType="1"/>
        </xdr:cNvSpPr>
      </xdr:nvSpPr>
      <xdr:spPr bwMode="auto">
        <a:xfrm>
          <a:off x="304800" y="13030200"/>
          <a:ext cx="10744200" cy="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58</xdr:row>
      <xdr:rowOff>0</xdr:rowOff>
    </xdr:from>
    <xdr:to>
      <xdr:col>58</xdr:col>
      <xdr:colOff>0</xdr:colOff>
      <xdr:row>58</xdr:row>
      <xdr:rowOff>0</xdr:rowOff>
    </xdr:to>
    <xdr:sp macro="" textlink="">
      <xdr:nvSpPr>
        <xdr:cNvPr id="23588" name="Line 2060">
          <a:extLst>
            <a:ext uri="{FF2B5EF4-FFF2-40B4-BE49-F238E27FC236}">
              <a16:creationId xmlns:a16="http://schemas.microsoft.com/office/drawing/2014/main" id="{00000000-0008-0000-0000-0000245C0000}"/>
            </a:ext>
          </a:extLst>
        </xdr:cNvPr>
        <xdr:cNvSpPr>
          <a:spLocks noChangeShapeType="1"/>
        </xdr:cNvSpPr>
      </xdr:nvSpPr>
      <xdr:spPr bwMode="auto">
        <a:xfrm>
          <a:off x="304800" y="13306425"/>
          <a:ext cx="10744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0</xdr:colOff>
      <xdr:row>54</xdr:row>
      <xdr:rowOff>0</xdr:rowOff>
    </xdr:from>
    <xdr:to>
      <xdr:col>39</xdr:col>
      <xdr:colOff>0</xdr:colOff>
      <xdr:row>58</xdr:row>
      <xdr:rowOff>0</xdr:rowOff>
    </xdr:to>
    <xdr:sp macro="" textlink="">
      <xdr:nvSpPr>
        <xdr:cNvPr id="23589" name="Line 2098">
          <a:extLst>
            <a:ext uri="{FF2B5EF4-FFF2-40B4-BE49-F238E27FC236}">
              <a16:creationId xmlns:a16="http://schemas.microsoft.com/office/drawing/2014/main" id="{00000000-0008-0000-0000-0000255C0000}"/>
            </a:ext>
          </a:extLst>
        </xdr:cNvPr>
        <xdr:cNvSpPr>
          <a:spLocks noChangeShapeType="1"/>
        </xdr:cNvSpPr>
      </xdr:nvSpPr>
      <xdr:spPr bwMode="auto">
        <a:xfrm>
          <a:off x="8143875" y="12182475"/>
          <a:ext cx="0" cy="1123950"/>
        </a:xfrm>
        <a:prstGeom prst="line">
          <a:avLst/>
        </a:prstGeom>
        <a:noFill/>
        <a:ln w="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54</xdr:row>
      <xdr:rowOff>0</xdr:rowOff>
    </xdr:from>
    <xdr:to>
      <xdr:col>58</xdr:col>
      <xdr:colOff>0</xdr:colOff>
      <xdr:row>54</xdr:row>
      <xdr:rowOff>0</xdr:rowOff>
    </xdr:to>
    <xdr:sp macro="" textlink="">
      <xdr:nvSpPr>
        <xdr:cNvPr id="23590" name="Line 511">
          <a:extLst>
            <a:ext uri="{FF2B5EF4-FFF2-40B4-BE49-F238E27FC236}">
              <a16:creationId xmlns:a16="http://schemas.microsoft.com/office/drawing/2014/main" id="{00000000-0008-0000-0000-0000265C0000}"/>
            </a:ext>
          </a:extLst>
        </xdr:cNvPr>
        <xdr:cNvSpPr>
          <a:spLocks noChangeShapeType="1"/>
        </xdr:cNvSpPr>
      </xdr:nvSpPr>
      <xdr:spPr bwMode="auto">
        <a:xfrm>
          <a:off x="314325" y="12182475"/>
          <a:ext cx="10734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40</xdr:row>
      <xdr:rowOff>104775</xdr:rowOff>
    </xdr:from>
    <xdr:to>
      <xdr:col>1</xdr:col>
      <xdr:colOff>66675</xdr:colOff>
      <xdr:row>62</xdr:row>
      <xdr:rowOff>9525</xdr:rowOff>
    </xdr:to>
    <xdr:sp macro="" textlink="">
      <xdr:nvSpPr>
        <xdr:cNvPr id="1570" name="テキスト 546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 txBox="1">
          <a:spLocks noChangeArrowheads="1"/>
        </xdr:cNvSpPr>
      </xdr:nvSpPr>
      <xdr:spPr bwMode="auto">
        <a:xfrm>
          <a:off x="0" y="8791575"/>
          <a:ext cx="285750" cy="56292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段 取･ 作 業･ 条 件 表</a:t>
          </a:r>
        </a:p>
      </xdr:txBody>
    </xdr:sp>
    <xdr:clientData/>
  </xdr:twoCellAnchor>
  <xdr:twoCellAnchor>
    <xdr:from>
      <xdr:col>36</xdr:col>
      <xdr:colOff>123825</xdr:colOff>
      <xdr:row>11</xdr:row>
      <xdr:rowOff>76200</xdr:rowOff>
    </xdr:from>
    <xdr:to>
      <xdr:col>41</xdr:col>
      <xdr:colOff>66675</xdr:colOff>
      <xdr:row>14</xdr:row>
      <xdr:rowOff>9525</xdr:rowOff>
    </xdr:to>
    <xdr:grpSp>
      <xdr:nvGrpSpPr>
        <xdr:cNvPr id="23592" name="Group 9035">
          <a:extLst>
            <a:ext uri="{FF2B5EF4-FFF2-40B4-BE49-F238E27FC236}">
              <a16:creationId xmlns:a16="http://schemas.microsoft.com/office/drawing/2014/main" id="{00000000-0008-0000-0000-0000285C0000}"/>
            </a:ext>
          </a:extLst>
        </xdr:cNvPr>
        <xdr:cNvGrpSpPr>
          <a:grpSpLocks/>
        </xdr:cNvGrpSpPr>
      </xdr:nvGrpSpPr>
      <xdr:grpSpPr bwMode="auto">
        <a:xfrm>
          <a:off x="7810500" y="2390775"/>
          <a:ext cx="704850" cy="495300"/>
          <a:chOff x="820" y="470"/>
          <a:chExt cx="74" cy="52"/>
        </a:xfrm>
      </xdr:grpSpPr>
      <xdr:sp macro="" textlink="">
        <xdr:nvSpPr>
          <xdr:cNvPr id="14" name="テキスト 1507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7" y="478"/>
            <a:ext cx="67" cy="22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段  刃  替時</a:t>
            </a:r>
          </a:p>
        </xdr:txBody>
      </xdr:sp>
      <xdr:sp macro="" textlink="">
        <xdr:nvSpPr>
          <xdr:cNvPr id="15" name="テキスト 1508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0" y="470"/>
            <a:ext cx="30" cy="30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16" name="テキスト 1509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8" y="470"/>
            <a:ext cx="30" cy="30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17" name="テキスト 1510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4" y="499"/>
            <a:ext cx="53" cy="23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通  常</a:t>
            </a:r>
          </a:p>
        </xdr:txBody>
      </xdr:sp>
    </xdr:grpSp>
    <xdr:clientData/>
  </xdr:twoCellAnchor>
  <xdr:twoCellAnchor>
    <xdr:from>
      <xdr:col>36</xdr:col>
      <xdr:colOff>123825</xdr:colOff>
      <xdr:row>13</xdr:row>
      <xdr:rowOff>142875</xdr:rowOff>
    </xdr:from>
    <xdr:to>
      <xdr:col>41</xdr:col>
      <xdr:colOff>66675</xdr:colOff>
      <xdr:row>16</xdr:row>
      <xdr:rowOff>9525</xdr:rowOff>
    </xdr:to>
    <xdr:grpSp>
      <xdr:nvGrpSpPr>
        <xdr:cNvPr id="23593" name="Group 9040">
          <a:extLst>
            <a:ext uri="{FF2B5EF4-FFF2-40B4-BE49-F238E27FC236}">
              <a16:creationId xmlns:a16="http://schemas.microsoft.com/office/drawing/2014/main" id="{00000000-0008-0000-0000-0000295C0000}"/>
            </a:ext>
          </a:extLst>
        </xdr:cNvPr>
        <xdr:cNvGrpSpPr>
          <a:grpSpLocks/>
        </xdr:cNvGrpSpPr>
      </xdr:nvGrpSpPr>
      <xdr:grpSpPr bwMode="auto">
        <a:xfrm>
          <a:off x="7810500" y="2809875"/>
          <a:ext cx="704850" cy="495300"/>
          <a:chOff x="820" y="470"/>
          <a:chExt cx="74" cy="52"/>
        </a:xfrm>
      </xdr:grpSpPr>
      <xdr:sp macro="" textlink="">
        <xdr:nvSpPr>
          <xdr:cNvPr id="10" name="テキスト 1507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7" y="478"/>
            <a:ext cx="67" cy="22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段  刃  替時</a:t>
            </a:r>
          </a:p>
        </xdr:txBody>
      </xdr:sp>
      <xdr:sp macro="" textlink="">
        <xdr:nvSpPr>
          <xdr:cNvPr id="11" name="テキスト 1508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0" y="470"/>
            <a:ext cx="31" cy="2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12" name="テキスト 1509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8" y="470"/>
            <a:ext cx="31" cy="2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13" name="テキスト 1510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4" y="499"/>
            <a:ext cx="53" cy="23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通  常</a:t>
            </a:r>
          </a:p>
        </xdr:txBody>
      </xdr:sp>
    </xdr:grpSp>
    <xdr:clientData/>
  </xdr:twoCellAnchor>
  <xdr:twoCellAnchor>
    <xdr:from>
      <xdr:col>36</xdr:col>
      <xdr:colOff>123825</xdr:colOff>
      <xdr:row>15</xdr:row>
      <xdr:rowOff>142875</xdr:rowOff>
    </xdr:from>
    <xdr:to>
      <xdr:col>41</xdr:col>
      <xdr:colOff>66675</xdr:colOff>
      <xdr:row>18</xdr:row>
      <xdr:rowOff>0</xdr:rowOff>
    </xdr:to>
    <xdr:grpSp>
      <xdr:nvGrpSpPr>
        <xdr:cNvPr id="23594" name="Group 9045">
          <a:extLst>
            <a:ext uri="{FF2B5EF4-FFF2-40B4-BE49-F238E27FC236}">
              <a16:creationId xmlns:a16="http://schemas.microsoft.com/office/drawing/2014/main" id="{00000000-0008-0000-0000-00002A5C0000}"/>
            </a:ext>
          </a:extLst>
        </xdr:cNvPr>
        <xdr:cNvGrpSpPr>
          <a:grpSpLocks/>
        </xdr:cNvGrpSpPr>
      </xdr:nvGrpSpPr>
      <xdr:grpSpPr bwMode="auto">
        <a:xfrm>
          <a:off x="7810500" y="3228975"/>
          <a:ext cx="704850" cy="485775"/>
          <a:chOff x="820" y="471"/>
          <a:chExt cx="74" cy="51"/>
        </a:xfrm>
      </xdr:grpSpPr>
      <xdr:sp macro="" textlink="">
        <xdr:nvSpPr>
          <xdr:cNvPr id="6" name="テキスト 1507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7" y="478"/>
            <a:ext cx="67" cy="22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段  刃  替時</a:t>
            </a:r>
          </a:p>
        </xdr:txBody>
      </xdr:sp>
      <xdr:sp macro="" textlink="">
        <xdr:nvSpPr>
          <xdr:cNvPr id="7" name="テキスト 150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0" y="471"/>
            <a:ext cx="31" cy="2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8" name="テキスト 1509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8" y="471"/>
            <a:ext cx="31" cy="2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9" name="テキスト 15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4" y="499"/>
            <a:ext cx="53" cy="23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通  常</a:t>
            </a:r>
          </a:p>
        </xdr:txBody>
      </xdr:sp>
    </xdr:grpSp>
    <xdr:clientData/>
  </xdr:twoCellAnchor>
  <xdr:twoCellAnchor>
    <xdr:from>
      <xdr:col>36</xdr:col>
      <xdr:colOff>123825</xdr:colOff>
      <xdr:row>17</xdr:row>
      <xdr:rowOff>142875</xdr:rowOff>
    </xdr:from>
    <xdr:to>
      <xdr:col>41</xdr:col>
      <xdr:colOff>66675</xdr:colOff>
      <xdr:row>20</xdr:row>
      <xdr:rowOff>0</xdr:rowOff>
    </xdr:to>
    <xdr:grpSp>
      <xdr:nvGrpSpPr>
        <xdr:cNvPr id="23595" name="Group 9050">
          <a:extLst>
            <a:ext uri="{FF2B5EF4-FFF2-40B4-BE49-F238E27FC236}">
              <a16:creationId xmlns:a16="http://schemas.microsoft.com/office/drawing/2014/main" id="{00000000-0008-0000-0000-00002B5C0000}"/>
            </a:ext>
          </a:extLst>
        </xdr:cNvPr>
        <xdr:cNvGrpSpPr>
          <a:grpSpLocks/>
        </xdr:cNvGrpSpPr>
      </xdr:nvGrpSpPr>
      <xdr:grpSpPr bwMode="auto">
        <a:xfrm>
          <a:off x="7810500" y="3648075"/>
          <a:ext cx="704850" cy="485775"/>
          <a:chOff x="820" y="471"/>
          <a:chExt cx="74" cy="51"/>
        </a:xfrm>
      </xdr:grpSpPr>
      <xdr:sp macro="" textlink="">
        <xdr:nvSpPr>
          <xdr:cNvPr id="2" name="テキスト 1507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7" y="478"/>
            <a:ext cx="67" cy="22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段  刃  替時</a:t>
            </a:r>
          </a:p>
        </xdr:txBody>
      </xdr:sp>
      <xdr:sp macro="" textlink="">
        <xdr:nvSpPr>
          <xdr:cNvPr id="3" name="テキスト 1508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0" y="471"/>
            <a:ext cx="31" cy="2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4" name="テキスト 1509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8" y="471"/>
            <a:ext cx="31" cy="2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5" name="テキスト 1510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4" y="499"/>
            <a:ext cx="53" cy="23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通  常</a:t>
            </a:r>
          </a:p>
        </xdr:txBody>
      </xdr:sp>
    </xdr:grpSp>
    <xdr:clientData/>
  </xdr:twoCellAnchor>
  <xdr:twoCellAnchor>
    <xdr:from>
      <xdr:col>36</xdr:col>
      <xdr:colOff>123825</xdr:colOff>
      <xdr:row>19</xdr:row>
      <xdr:rowOff>152400</xdr:rowOff>
    </xdr:from>
    <xdr:to>
      <xdr:col>41</xdr:col>
      <xdr:colOff>66675</xdr:colOff>
      <xdr:row>22</xdr:row>
      <xdr:rowOff>9525</xdr:rowOff>
    </xdr:to>
    <xdr:grpSp>
      <xdr:nvGrpSpPr>
        <xdr:cNvPr id="23596" name="Group 9055">
          <a:extLst>
            <a:ext uri="{FF2B5EF4-FFF2-40B4-BE49-F238E27FC236}">
              <a16:creationId xmlns:a16="http://schemas.microsoft.com/office/drawing/2014/main" id="{00000000-0008-0000-0000-00002C5C0000}"/>
            </a:ext>
          </a:extLst>
        </xdr:cNvPr>
        <xdr:cNvGrpSpPr>
          <a:grpSpLocks/>
        </xdr:cNvGrpSpPr>
      </xdr:nvGrpSpPr>
      <xdr:grpSpPr bwMode="auto">
        <a:xfrm>
          <a:off x="7810500" y="4076700"/>
          <a:ext cx="704850" cy="485775"/>
          <a:chOff x="820" y="471"/>
          <a:chExt cx="74" cy="51"/>
        </a:xfrm>
      </xdr:grpSpPr>
      <xdr:sp macro="" textlink="">
        <xdr:nvSpPr>
          <xdr:cNvPr id="6239" name="テキスト 1507">
            <a:extLst>
              <a:ext uri="{FF2B5EF4-FFF2-40B4-BE49-F238E27FC236}">
                <a16:creationId xmlns:a16="http://schemas.microsoft.com/office/drawing/2014/main" id="{00000000-0008-0000-0000-00005F1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7" y="478"/>
            <a:ext cx="67" cy="22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段  刃  替時</a:t>
            </a:r>
          </a:p>
        </xdr:txBody>
      </xdr:sp>
      <xdr:sp macro="" textlink="">
        <xdr:nvSpPr>
          <xdr:cNvPr id="6240" name="テキスト 1508">
            <a:extLst>
              <a:ext uri="{FF2B5EF4-FFF2-40B4-BE49-F238E27FC236}">
                <a16:creationId xmlns:a16="http://schemas.microsoft.com/office/drawing/2014/main" id="{00000000-0008-0000-0000-0000601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20" y="471"/>
            <a:ext cx="31" cy="2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6241" name="テキスト 1509">
            <a:extLst>
              <a:ext uri="{FF2B5EF4-FFF2-40B4-BE49-F238E27FC236}">
                <a16:creationId xmlns:a16="http://schemas.microsoft.com/office/drawing/2014/main" id="{00000000-0008-0000-0000-0000611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8" y="471"/>
            <a:ext cx="31" cy="29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ja-JP" altLang="en-US" sz="16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○</a:t>
            </a:r>
          </a:p>
        </xdr:txBody>
      </xdr:sp>
      <xdr:sp macro="" textlink="">
        <xdr:nvSpPr>
          <xdr:cNvPr id="6242" name="テキスト 1510">
            <a:extLst>
              <a:ext uri="{FF2B5EF4-FFF2-40B4-BE49-F238E27FC236}">
                <a16:creationId xmlns:a16="http://schemas.microsoft.com/office/drawing/2014/main" id="{00000000-0008-0000-0000-0000621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4" y="499"/>
            <a:ext cx="53" cy="23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通  常</a:t>
            </a:r>
          </a:p>
        </xdr:txBody>
      </xdr:sp>
    </xdr:grpSp>
    <xdr:clientData/>
  </xdr:twoCellAnchor>
  <xdr:twoCellAnchor>
    <xdr:from>
      <xdr:col>55</xdr:col>
      <xdr:colOff>28575</xdr:colOff>
      <xdr:row>13</xdr:row>
      <xdr:rowOff>190500</xdr:rowOff>
    </xdr:from>
    <xdr:to>
      <xdr:col>57</xdr:col>
      <xdr:colOff>28575</xdr:colOff>
      <xdr:row>15</xdr:row>
      <xdr:rowOff>28575</xdr:rowOff>
    </xdr:to>
    <xdr:grpSp>
      <xdr:nvGrpSpPr>
        <xdr:cNvPr id="23597" name="Group 9061">
          <a:extLst>
            <a:ext uri="{FF2B5EF4-FFF2-40B4-BE49-F238E27FC236}">
              <a16:creationId xmlns:a16="http://schemas.microsoft.com/office/drawing/2014/main" id="{00000000-0008-0000-0000-00002D5C0000}"/>
            </a:ext>
          </a:extLst>
        </xdr:cNvPr>
        <xdr:cNvGrpSpPr>
          <a:grpSpLocks/>
        </xdr:cNvGrpSpPr>
      </xdr:nvGrpSpPr>
      <xdr:grpSpPr bwMode="auto">
        <a:xfrm>
          <a:off x="10610850" y="2857500"/>
          <a:ext cx="304800" cy="257175"/>
          <a:chOff x="1114" y="431"/>
          <a:chExt cx="32" cy="27"/>
        </a:xfrm>
      </xdr:grpSpPr>
      <xdr:sp macro="" textlink="">
        <xdr:nvSpPr>
          <xdr:cNvPr id="18278" name="テキスト 992">
            <a:extLst>
              <a:ext uri="{FF2B5EF4-FFF2-40B4-BE49-F238E27FC236}">
                <a16:creationId xmlns:a16="http://schemas.microsoft.com/office/drawing/2014/main" id="{00000000-0008-0000-0000-00006647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4" y="431"/>
            <a:ext cx="32" cy="15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初１</a:t>
            </a:r>
          </a:p>
          <a:p>
            <a:pPr algn="l" rtl="0">
              <a:defRPr sz="1000"/>
            </a:pPr>
            <a:endPara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  <xdr:sp macro="" textlink="">
        <xdr:nvSpPr>
          <xdr:cNvPr id="18279" name="テキスト 993">
            <a:extLst>
              <a:ext uri="{FF2B5EF4-FFF2-40B4-BE49-F238E27FC236}">
                <a16:creationId xmlns:a16="http://schemas.microsoft.com/office/drawing/2014/main" id="{00000000-0008-0000-0000-00006747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4" y="442"/>
            <a:ext cx="32" cy="16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終１</a:t>
            </a:r>
          </a:p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１</a:t>
            </a:r>
          </a:p>
          <a:p>
            <a:pPr algn="l" rtl="0">
              <a:defRPr sz="1000"/>
            </a:pPr>
            <a:endParaRPr lang="ja-JP" altLang="en-US" sz="8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</xdr:grpSp>
    <xdr:clientData/>
  </xdr:twoCellAnchor>
  <xdr:twoCellAnchor>
    <xdr:from>
      <xdr:col>37</xdr:col>
      <xdr:colOff>0</xdr:colOff>
      <xdr:row>24</xdr:row>
      <xdr:rowOff>66675</xdr:rowOff>
    </xdr:from>
    <xdr:to>
      <xdr:col>38</xdr:col>
      <xdr:colOff>19050</xdr:colOff>
      <xdr:row>25</xdr:row>
      <xdr:rowOff>47625</xdr:rowOff>
    </xdr:to>
    <xdr:sp macro="" textlink="">
      <xdr:nvSpPr>
        <xdr:cNvPr id="23598" name="Oval 9064">
          <a:extLst>
            <a:ext uri="{FF2B5EF4-FFF2-40B4-BE49-F238E27FC236}">
              <a16:creationId xmlns:a16="http://schemas.microsoft.com/office/drawing/2014/main" id="{00000000-0008-0000-0000-00002E5C0000}"/>
            </a:ext>
          </a:extLst>
        </xdr:cNvPr>
        <xdr:cNvSpPr>
          <a:spLocks noChangeArrowheads="1"/>
        </xdr:cNvSpPr>
      </xdr:nvSpPr>
      <xdr:spPr bwMode="auto">
        <a:xfrm>
          <a:off x="7839075" y="5038725"/>
          <a:ext cx="171450" cy="1714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0</xdr:colOff>
      <xdr:row>25</xdr:row>
      <xdr:rowOff>133350</xdr:rowOff>
    </xdr:from>
    <xdr:to>
      <xdr:col>38</xdr:col>
      <xdr:colOff>19050</xdr:colOff>
      <xdr:row>26</xdr:row>
      <xdr:rowOff>114300</xdr:rowOff>
    </xdr:to>
    <xdr:sp macro="" textlink="">
      <xdr:nvSpPr>
        <xdr:cNvPr id="23599" name="Oval 9065">
          <a:extLst>
            <a:ext uri="{FF2B5EF4-FFF2-40B4-BE49-F238E27FC236}">
              <a16:creationId xmlns:a16="http://schemas.microsoft.com/office/drawing/2014/main" id="{00000000-0008-0000-0000-00002F5C0000}"/>
            </a:ext>
          </a:extLst>
        </xdr:cNvPr>
        <xdr:cNvSpPr>
          <a:spLocks noChangeArrowheads="1"/>
        </xdr:cNvSpPr>
      </xdr:nvSpPr>
      <xdr:spPr bwMode="auto">
        <a:xfrm>
          <a:off x="7839075" y="5295900"/>
          <a:ext cx="171450" cy="1714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1</xdr:row>
          <xdr:rowOff>104775</xdr:rowOff>
        </xdr:from>
        <xdr:to>
          <xdr:col>43</xdr:col>
          <xdr:colOff>0</xdr:colOff>
          <xdr:row>2</xdr:row>
          <xdr:rowOff>133350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品技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9525</xdr:colOff>
          <xdr:row>1</xdr:row>
          <xdr:rowOff>104775</xdr:rowOff>
        </xdr:from>
        <xdr:to>
          <xdr:col>46</xdr:col>
          <xdr:colOff>0</xdr:colOff>
          <xdr:row>2</xdr:row>
          <xdr:rowOff>133350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職長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9525</xdr:colOff>
          <xdr:row>1</xdr:row>
          <xdr:rowOff>104775</xdr:rowOff>
        </xdr:from>
        <xdr:to>
          <xdr:col>49</xdr:col>
          <xdr:colOff>0</xdr:colOff>
          <xdr:row>2</xdr:row>
          <xdr:rowOff>133350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ＱＣ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9525</xdr:colOff>
          <xdr:row>1</xdr:row>
          <xdr:rowOff>104775</xdr:rowOff>
        </xdr:from>
        <xdr:to>
          <xdr:col>52</xdr:col>
          <xdr:colOff>0</xdr:colOff>
          <xdr:row>2</xdr:row>
          <xdr:rowOff>133350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ＳＬ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9525</xdr:colOff>
          <xdr:row>1</xdr:row>
          <xdr:rowOff>104775</xdr:rowOff>
        </xdr:from>
        <xdr:to>
          <xdr:col>55</xdr:col>
          <xdr:colOff>0</xdr:colOff>
          <xdr:row>2</xdr:row>
          <xdr:rowOff>133350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9525</xdr:colOff>
          <xdr:row>1</xdr:row>
          <xdr:rowOff>104775</xdr:rowOff>
        </xdr:from>
        <xdr:to>
          <xdr:col>58</xdr:col>
          <xdr:colOff>0</xdr:colOff>
          <xdr:row>2</xdr:row>
          <xdr:rowOff>133350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4</xdr:col>
          <xdr:colOff>133350</xdr:colOff>
          <xdr:row>2</xdr:row>
          <xdr:rowOff>57150</xdr:rowOff>
        </xdr:to>
        <xdr:sp macro="" textlink="">
          <xdr:nvSpPr>
            <xdr:cNvPr id="2078" name="Button 1054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改訂ﾏｰｸ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200025</xdr:colOff>
          <xdr:row>38</xdr:row>
          <xdr:rowOff>0</xdr:rowOff>
        </xdr:from>
        <xdr:to>
          <xdr:col>20</xdr:col>
          <xdr:colOff>28575</xdr:colOff>
          <xdr:row>40</xdr:row>
          <xdr:rowOff>0</xdr:rowOff>
        </xdr:to>
        <xdr:sp macro="" textlink="">
          <xdr:nvSpPr>
            <xdr:cNvPr id="2296" name="lock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ロック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38</xdr:row>
          <xdr:rowOff>0</xdr:rowOff>
        </xdr:from>
        <xdr:to>
          <xdr:col>24</xdr:col>
          <xdr:colOff>9525</xdr:colOff>
          <xdr:row>40</xdr:row>
          <xdr:rowOff>0</xdr:rowOff>
        </xdr:to>
        <xdr:sp macro="" textlink="">
          <xdr:nvSpPr>
            <xdr:cNvPr id="2297" name="unlock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3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ロック解除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38100</xdr:rowOff>
        </xdr:from>
        <xdr:to>
          <xdr:col>9</xdr:col>
          <xdr:colOff>133350</xdr:colOff>
          <xdr:row>2</xdr:row>
          <xdr:rowOff>57150</xdr:rowOff>
        </xdr:to>
        <xdr:sp macro="" textlink="">
          <xdr:nvSpPr>
            <xdr:cNvPr id="2481" name="KDCON_BT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0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図面貼付け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62</xdr:row>
          <xdr:rowOff>19050</xdr:rowOff>
        </xdr:from>
        <xdr:to>
          <xdr:col>1</xdr:col>
          <xdr:colOff>66675</xdr:colOff>
          <xdr:row>67</xdr:row>
          <xdr:rowOff>247650</xdr:rowOff>
        </xdr:to>
        <xdr:sp macro="" textlink="">
          <xdr:nvSpPr>
            <xdr:cNvPr id="2172" name="Button 1148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改訂履歴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21</xdr:row>
      <xdr:rowOff>9525</xdr:rowOff>
    </xdr:from>
    <xdr:to>
      <xdr:col>5</xdr:col>
      <xdr:colOff>104775</xdr:colOff>
      <xdr:row>29</xdr:row>
      <xdr:rowOff>238125</xdr:rowOff>
    </xdr:to>
    <xdr:sp macro="" textlink="">
      <xdr:nvSpPr>
        <xdr:cNvPr id="4069" name="Line 219">
          <a:extLst>
            <a:ext uri="{FF2B5EF4-FFF2-40B4-BE49-F238E27FC236}">
              <a16:creationId xmlns:a16="http://schemas.microsoft.com/office/drawing/2014/main" id="{00000000-0008-0000-0100-0000E50F0000}"/>
            </a:ext>
          </a:extLst>
        </xdr:cNvPr>
        <xdr:cNvSpPr>
          <a:spLocks noChangeShapeType="1"/>
        </xdr:cNvSpPr>
      </xdr:nvSpPr>
      <xdr:spPr bwMode="auto">
        <a:xfrm>
          <a:off x="4505325" y="5895975"/>
          <a:ext cx="0" cy="2209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21</xdr:row>
      <xdr:rowOff>0</xdr:rowOff>
    </xdr:from>
    <xdr:to>
      <xdr:col>8</xdr:col>
      <xdr:colOff>28575</xdr:colOff>
      <xdr:row>30</xdr:row>
      <xdr:rowOff>28575</xdr:rowOff>
    </xdr:to>
    <xdr:sp macro="" textlink="">
      <xdr:nvSpPr>
        <xdr:cNvPr id="4070" name="Rectangle 161">
          <a:extLst>
            <a:ext uri="{FF2B5EF4-FFF2-40B4-BE49-F238E27FC236}">
              <a16:creationId xmlns:a16="http://schemas.microsoft.com/office/drawing/2014/main" id="{00000000-0008-0000-0100-0000E60F0000}"/>
            </a:ext>
          </a:extLst>
        </xdr:cNvPr>
        <xdr:cNvSpPr>
          <a:spLocks noChangeArrowheads="1"/>
        </xdr:cNvSpPr>
      </xdr:nvSpPr>
      <xdr:spPr bwMode="auto">
        <a:xfrm>
          <a:off x="180975" y="5886450"/>
          <a:ext cx="6905625" cy="22574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9</xdr:col>
      <xdr:colOff>590550</xdr:colOff>
      <xdr:row>3</xdr:row>
      <xdr:rowOff>142875</xdr:rowOff>
    </xdr:from>
    <xdr:to>
      <xdr:col>12</xdr:col>
      <xdr:colOff>133350</xdr:colOff>
      <xdr:row>4</xdr:row>
      <xdr:rowOff>161925</xdr:rowOff>
    </xdr:to>
    <xdr:grpSp>
      <xdr:nvGrpSpPr>
        <xdr:cNvPr id="4071" name="Group 116">
          <a:extLst>
            <a:ext uri="{FF2B5EF4-FFF2-40B4-BE49-F238E27FC236}">
              <a16:creationId xmlns:a16="http://schemas.microsoft.com/office/drawing/2014/main" id="{00000000-0008-0000-0100-0000E70F0000}"/>
            </a:ext>
          </a:extLst>
        </xdr:cNvPr>
        <xdr:cNvGrpSpPr>
          <a:grpSpLocks/>
        </xdr:cNvGrpSpPr>
      </xdr:nvGrpSpPr>
      <xdr:grpSpPr bwMode="auto">
        <a:xfrm>
          <a:off x="7848600" y="1619250"/>
          <a:ext cx="1990725" cy="257175"/>
          <a:chOff x="-6184" y="-9106"/>
          <a:chExt cx="20064" cy="24543"/>
        </a:xfrm>
      </xdr:grpSpPr>
      <xdr:sp macro="" textlink="">
        <xdr:nvSpPr>
          <xdr:cNvPr id="3170" name="テキスト 98">
            <a:extLst>
              <a:ext uri="{FF2B5EF4-FFF2-40B4-BE49-F238E27FC236}">
                <a16:creationId xmlns:a16="http://schemas.microsoft.com/office/drawing/2014/main" id="{00000000-0008-0000-0100-000062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184" y="-9106"/>
            <a:ext cx="20064" cy="24543"/>
          </a:xfrm>
          <a:prstGeom prst="rect">
            <a:avLst/>
          </a:prstGeom>
          <a:solidFill>
            <a:srgbClr val="A6CAF0"/>
          </a:solidFill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    は入力値</a:t>
            </a:r>
          </a:p>
        </xdr:txBody>
      </xdr:sp>
      <xdr:sp macro="" textlink="">
        <xdr:nvSpPr>
          <xdr:cNvPr id="4087" name="テキスト 99">
            <a:extLst>
              <a:ext uri="{FF2B5EF4-FFF2-40B4-BE49-F238E27FC236}">
                <a16:creationId xmlns:a16="http://schemas.microsoft.com/office/drawing/2014/main" id="{00000000-0008-0000-0100-0000F70F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304" y="-2743"/>
            <a:ext cx="4512" cy="9999"/>
          </a:xfrm>
          <a:prstGeom prst="rect">
            <a:avLst/>
          </a:prstGeom>
          <a:solidFill>
            <a:srgbClr val="FFFF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 editAs="absolute">
    <xdr:from>
      <xdr:col>3</xdr:col>
      <xdr:colOff>647700</xdr:colOff>
      <xdr:row>0</xdr:row>
      <xdr:rowOff>285750</xdr:rowOff>
    </xdr:from>
    <xdr:to>
      <xdr:col>7</xdr:col>
      <xdr:colOff>466725</xdr:colOff>
      <xdr:row>1</xdr:row>
      <xdr:rowOff>571500</xdr:rowOff>
    </xdr:to>
    <xdr:sp macro="" textlink="">
      <xdr:nvSpPr>
        <xdr:cNvPr id="3189" name="テキスト 117">
          <a:extLst>
            <a:ext uri="{FF2B5EF4-FFF2-40B4-BE49-F238E27FC236}">
              <a16:creationId xmlns:a16="http://schemas.microsoft.com/office/drawing/2014/main" id="{00000000-0008-0000-0100-0000750C0000}"/>
            </a:ext>
          </a:extLst>
        </xdr:cNvPr>
        <xdr:cNvSpPr txBox="1">
          <a:spLocks noChangeArrowheads="1"/>
        </xdr:cNvSpPr>
      </xdr:nvSpPr>
      <xdr:spPr bwMode="auto">
        <a:xfrm>
          <a:off x="2819400" y="285750"/>
          <a:ext cx="36290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45720" tIns="22860" rIns="45720" bIns="22860" anchor="ctr" upright="1"/>
        <a:lstStyle/>
        <a:p>
          <a:pPr algn="ctr" rtl="0">
            <a:defRPr sz="1000"/>
          </a:pPr>
          <a:r>
            <a:rPr lang="ja-JP" altLang="en-US" sz="18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工作図 （作業標準書）入力画面</a:t>
          </a:r>
        </a:p>
      </xdr:txBody>
    </xdr:sp>
    <xdr:clientData/>
  </xdr:twoCellAnchor>
  <xdr:twoCellAnchor editAs="absolute">
    <xdr:from>
      <xdr:col>3</xdr:col>
      <xdr:colOff>447675</xdr:colOff>
      <xdr:row>11</xdr:row>
      <xdr:rowOff>9525</xdr:rowOff>
    </xdr:from>
    <xdr:to>
      <xdr:col>7</xdr:col>
      <xdr:colOff>914400</xdr:colOff>
      <xdr:row>17</xdr:row>
      <xdr:rowOff>57150</xdr:rowOff>
    </xdr:to>
    <xdr:grpSp>
      <xdr:nvGrpSpPr>
        <xdr:cNvPr id="4073" name="注記" hidden="1">
          <a:extLst>
            <a:ext uri="{FF2B5EF4-FFF2-40B4-BE49-F238E27FC236}">
              <a16:creationId xmlns:a16="http://schemas.microsoft.com/office/drawing/2014/main" id="{00000000-0008-0000-0100-0000E90F0000}"/>
            </a:ext>
          </a:extLst>
        </xdr:cNvPr>
        <xdr:cNvGrpSpPr>
          <a:grpSpLocks/>
        </xdr:cNvGrpSpPr>
      </xdr:nvGrpSpPr>
      <xdr:grpSpPr bwMode="auto">
        <a:xfrm>
          <a:off x="2619375" y="3419475"/>
          <a:ext cx="4276725" cy="1533525"/>
          <a:chOff x="-3674" y="-788"/>
          <a:chExt cx="22450" cy="18837"/>
        </a:xfrm>
      </xdr:grpSpPr>
      <xdr:sp macro="" textlink="">
        <xdr:nvSpPr>
          <xdr:cNvPr id="4083" name="テキスト 143">
            <a:extLst>
              <a:ext uri="{FF2B5EF4-FFF2-40B4-BE49-F238E27FC236}">
                <a16:creationId xmlns:a16="http://schemas.microsoft.com/office/drawing/2014/main" id="{00000000-0008-0000-0100-0000F30F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674" y="-788"/>
            <a:ext cx="22450" cy="18837"/>
          </a:xfrm>
          <a:prstGeom prst="rect">
            <a:avLst/>
          </a:prstGeom>
          <a:solidFill>
            <a:srgbClr val="FF808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216" name="テキスト 144">
            <a:extLst>
              <a:ext uri="{FF2B5EF4-FFF2-40B4-BE49-F238E27FC236}">
                <a16:creationId xmlns:a16="http://schemas.microsoft.com/office/drawing/2014/main" id="{00000000-0008-0000-0100-000090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074" y="1318"/>
            <a:ext cx="19050" cy="1205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0" bIns="18288" anchor="ctr" upright="1"/>
          <a:lstStyle/>
          <a:p>
            <a:pPr algn="l" rtl="0">
              <a:lnSpc>
                <a:spcPts val="1400"/>
              </a:lnSpc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  歯形・圧力角・インボリュート誤差は、</a:t>
            </a:r>
          </a:p>
          <a:p>
            <a:pPr algn="l" rtl="0">
              <a:lnSpc>
                <a:spcPts val="1500"/>
              </a:lnSpc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  ドックのかかっていない歯で測定し、</a:t>
            </a:r>
          </a:p>
          <a:p>
            <a:pPr algn="l" rtl="0">
              <a:lnSpc>
                <a:spcPts val="1400"/>
              </a:lnSpc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  規格はＹ－６級とする。</a:t>
            </a:r>
          </a:p>
          <a:p>
            <a:pPr algn="l" rtl="0">
              <a:lnSpc>
                <a:spcPts val="1500"/>
              </a:lnSpc>
              <a:defRPr sz="1000"/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  ドックのかかっている歯では判定しない。</a:t>
            </a:r>
          </a:p>
          <a:p>
            <a:pPr algn="l" rtl="0">
              <a:lnSpc>
                <a:spcPts val="1400"/>
              </a:lnSpc>
              <a:defRPr sz="1000"/>
            </a:pPr>
            <a:endPara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3217" name="テキスト 145">
            <a:extLst>
              <a:ext uri="{FF2B5EF4-FFF2-40B4-BE49-F238E27FC236}">
                <a16:creationId xmlns:a16="http://schemas.microsoft.com/office/drawing/2014/main" id="{00000000-0008-0000-0100-0000910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6" y="13954"/>
            <a:ext cx="7600" cy="2808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技術通報１０２７９</a:t>
            </a:r>
          </a:p>
        </xdr:txBody>
      </xdr:sp>
    </xdr:grpSp>
    <xdr:clientData/>
  </xdr:twoCellAnchor>
  <xdr:twoCellAnchor editAs="absolute">
    <xdr:from>
      <xdr:col>4</xdr:col>
      <xdr:colOff>0</xdr:colOff>
      <xdr:row>6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3266" name="size5" hidden="1">
          <a:extLst>
            <a:ext uri="{FF2B5EF4-FFF2-40B4-BE49-F238E27FC236}">
              <a16:creationId xmlns:a16="http://schemas.microsoft.com/office/drawing/2014/main" id="{00000000-0008-0000-0100-0000C20C0000}"/>
            </a:ext>
          </a:extLst>
        </xdr:cNvPr>
        <xdr:cNvSpPr txBox="1">
          <a:spLocks noChangeArrowheads="1"/>
        </xdr:cNvSpPr>
      </xdr:nvSpPr>
      <xdr:spPr bwMode="auto">
        <a:xfrm>
          <a:off x="3286125" y="2171700"/>
          <a:ext cx="1114425" cy="7429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サイズ指示</a:t>
          </a:r>
        </a:p>
      </xdr:txBody>
    </xdr:sp>
    <xdr:clientData/>
  </xdr:twoCellAnchor>
  <xdr:twoCellAnchor>
    <xdr:from>
      <xdr:col>5</xdr:col>
      <xdr:colOff>114300</xdr:colOff>
      <xdr:row>19</xdr:row>
      <xdr:rowOff>171450</xdr:rowOff>
    </xdr:from>
    <xdr:to>
      <xdr:col>8</xdr:col>
      <xdr:colOff>123825</xdr:colOff>
      <xdr:row>31</xdr:row>
      <xdr:rowOff>47625</xdr:rowOff>
    </xdr:to>
    <xdr:sp macro="" textlink="">
      <xdr:nvSpPr>
        <xdr:cNvPr id="4075" name="隠しⅡ">
          <a:extLst>
            <a:ext uri="{FF2B5EF4-FFF2-40B4-BE49-F238E27FC236}">
              <a16:creationId xmlns:a16="http://schemas.microsoft.com/office/drawing/2014/main" id="{00000000-0008-0000-0100-0000EB0F0000}"/>
            </a:ext>
          </a:extLst>
        </xdr:cNvPr>
        <xdr:cNvSpPr txBox="1">
          <a:spLocks noChangeArrowheads="1"/>
        </xdr:cNvSpPr>
      </xdr:nvSpPr>
      <xdr:spPr bwMode="auto">
        <a:xfrm>
          <a:off x="4514850" y="5562600"/>
          <a:ext cx="2667000" cy="2847975"/>
        </a:xfrm>
        <a:prstGeom prst="rect">
          <a:avLst/>
        </a:prstGeom>
        <a:solidFill>
          <a:srgbClr val="A6CAF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19</xdr:row>
      <xdr:rowOff>9525</xdr:rowOff>
    </xdr:from>
    <xdr:to>
      <xdr:col>4</xdr:col>
      <xdr:colOff>28575</xdr:colOff>
      <xdr:row>19</xdr:row>
      <xdr:rowOff>9525</xdr:rowOff>
    </xdr:to>
    <xdr:sp macro="" textlink="">
      <xdr:nvSpPr>
        <xdr:cNvPr id="4077" name="Line 724">
          <a:extLst>
            <a:ext uri="{FF2B5EF4-FFF2-40B4-BE49-F238E27FC236}">
              <a16:creationId xmlns:a16="http://schemas.microsoft.com/office/drawing/2014/main" id="{00000000-0008-0000-0100-0000ED0F0000}"/>
            </a:ext>
          </a:extLst>
        </xdr:cNvPr>
        <xdr:cNvSpPr>
          <a:spLocks noChangeShapeType="1"/>
        </xdr:cNvSpPr>
      </xdr:nvSpPr>
      <xdr:spPr bwMode="auto">
        <a:xfrm>
          <a:off x="1095375" y="5400675"/>
          <a:ext cx="221932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19050</xdr:colOff>
      <xdr:row>16</xdr:row>
      <xdr:rowOff>38100</xdr:rowOff>
    </xdr:from>
    <xdr:to>
      <xdr:col>4</xdr:col>
      <xdr:colOff>19050</xdr:colOff>
      <xdr:row>19</xdr:row>
      <xdr:rowOff>28575</xdr:rowOff>
    </xdr:to>
    <xdr:sp macro="" textlink="">
      <xdr:nvSpPr>
        <xdr:cNvPr id="4078" name="Line 725">
          <a:extLst>
            <a:ext uri="{FF2B5EF4-FFF2-40B4-BE49-F238E27FC236}">
              <a16:creationId xmlns:a16="http://schemas.microsoft.com/office/drawing/2014/main" id="{00000000-0008-0000-0100-0000EE0F0000}"/>
            </a:ext>
          </a:extLst>
        </xdr:cNvPr>
        <xdr:cNvSpPr>
          <a:spLocks noChangeShapeType="1"/>
        </xdr:cNvSpPr>
      </xdr:nvSpPr>
      <xdr:spPr bwMode="auto">
        <a:xfrm>
          <a:off x="3305175" y="4686300"/>
          <a:ext cx="0" cy="73342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11</xdr:row>
      <xdr:rowOff>19050</xdr:rowOff>
    </xdr:from>
    <xdr:to>
      <xdr:col>5</xdr:col>
      <xdr:colOff>28575</xdr:colOff>
      <xdr:row>11</xdr:row>
      <xdr:rowOff>19050</xdr:rowOff>
    </xdr:to>
    <xdr:sp macro="" textlink="">
      <xdr:nvSpPr>
        <xdr:cNvPr id="4079" name="Line 727">
          <a:extLst>
            <a:ext uri="{FF2B5EF4-FFF2-40B4-BE49-F238E27FC236}">
              <a16:creationId xmlns:a16="http://schemas.microsoft.com/office/drawing/2014/main" id="{00000000-0008-0000-0100-0000EF0F0000}"/>
            </a:ext>
          </a:extLst>
        </xdr:cNvPr>
        <xdr:cNvSpPr>
          <a:spLocks noChangeShapeType="1"/>
        </xdr:cNvSpPr>
      </xdr:nvSpPr>
      <xdr:spPr bwMode="auto">
        <a:xfrm>
          <a:off x="1085850" y="3429000"/>
          <a:ext cx="33432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5</xdr:row>
      <xdr:rowOff>38100</xdr:rowOff>
    </xdr:from>
    <xdr:to>
      <xdr:col>5</xdr:col>
      <xdr:colOff>19050</xdr:colOff>
      <xdr:row>11</xdr:row>
      <xdr:rowOff>19050</xdr:rowOff>
    </xdr:to>
    <xdr:sp macro="" textlink="">
      <xdr:nvSpPr>
        <xdr:cNvPr id="4080" name="Line 728">
          <a:extLst>
            <a:ext uri="{FF2B5EF4-FFF2-40B4-BE49-F238E27FC236}">
              <a16:creationId xmlns:a16="http://schemas.microsoft.com/office/drawing/2014/main" id="{00000000-0008-0000-0100-0000F00F0000}"/>
            </a:ext>
          </a:extLst>
        </xdr:cNvPr>
        <xdr:cNvSpPr>
          <a:spLocks noChangeShapeType="1"/>
        </xdr:cNvSpPr>
      </xdr:nvSpPr>
      <xdr:spPr bwMode="auto">
        <a:xfrm>
          <a:off x="4419600" y="1962150"/>
          <a:ext cx="0" cy="146685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</xdr:colOff>
      <xdr:row>4</xdr:row>
      <xdr:rowOff>19050</xdr:rowOff>
    </xdr:from>
    <xdr:to>
      <xdr:col>4</xdr:col>
      <xdr:colOff>257175</xdr:colOff>
      <xdr:row>4</xdr:row>
      <xdr:rowOff>19050</xdr:rowOff>
    </xdr:to>
    <xdr:sp macro="" textlink="">
      <xdr:nvSpPr>
        <xdr:cNvPr id="4081" name="Line 729">
          <a:extLst>
            <a:ext uri="{FF2B5EF4-FFF2-40B4-BE49-F238E27FC236}">
              <a16:creationId xmlns:a16="http://schemas.microsoft.com/office/drawing/2014/main" id="{00000000-0008-0000-0100-0000F10F0000}"/>
            </a:ext>
          </a:extLst>
        </xdr:cNvPr>
        <xdr:cNvSpPr>
          <a:spLocks noChangeShapeType="1"/>
        </xdr:cNvSpPr>
      </xdr:nvSpPr>
      <xdr:spPr bwMode="auto">
        <a:xfrm>
          <a:off x="219075" y="1733550"/>
          <a:ext cx="332422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266700</xdr:colOff>
      <xdr:row>2</xdr:row>
      <xdr:rowOff>47625</xdr:rowOff>
    </xdr:from>
    <xdr:to>
      <xdr:col>4</xdr:col>
      <xdr:colOff>266700</xdr:colOff>
      <xdr:row>4</xdr:row>
      <xdr:rowOff>38100</xdr:rowOff>
    </xdr:to>
    <xdr:sp macro="" textlink="">
      <xdr:nvSpPr>
        <xdr:cNvPr id="4082" name="Line 730">
          <a:extLst>
            <a:ext uri="{FF2B5EF4-FFF2-40B4-BE49-F238E27FC236}">
              <a16:creationId xmlns:a16="http://schemas.microsoft.com/office/drawing/2014/main" id="{00000000-0008-0000-0100-0000F20F0000}"/>
            </a:ext>
          </a:extLst>
        </xdr:cNvPr>
        <xdr:cNvSpPr>
          <a:spLocks noChangeShapeType="1"/>
        </xdr:cNvSpPr>
      </xdr:nvSpPr>
      <xdr:spPr bwMode="auto">
        <a:xfrm>
          <a:off x="3552825" y="1266825"/>
          <a:ext cx="0" cy="4857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22</xdr:row>
          <xdr:rowOff>28575</xdr:rowOff>
        </xdr:from>
        <xdr:to>
          <xdr:col>1</xdr:col>
          <xdr:colOff>400050</xdr:colOff>
          <xdr:row>22</xdr:row>
          <xdr:rowOff>228600</xdr:rowOff>
        </xdr:to>
        <xdr:sp macro="" textlink="">
          <xdr:nvSpPr>
            <xdr:cNvPr id="3280" name="ボタン1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23</xdr:row>
          <xdr:rowOff>9525</xdr:rowOff>
        </xdr:from>
        <xdr:to>
          <xdr:col>1</xdr:col>
          <xdr:colOff>400050</xdr:colOff>
          <xdr:row>23</xdr:row>
          <xdr:rowOff>209550</xdr:rowOff>
        </xdr:to>
        <xdr:sp macro="" textlink="">
          <xdr:nvSpPr>
            <xdr:cNvPr id="3281" name="ボタン2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24</xdr:row>
          <xdr:rowOff>9525</xdr:rowOff>
        </xdr:from>
        <xdr:to>
          <xdr:col>1</xdr:col>
          <xdr:colOff>400050</xdr:colOff>
          <xdr:row>24</xdr:row>
          <xdr:rowOff>209550</xdr:rowOff>
        </xdr:to>
        <xdr:sp macro="" textlink="">
          <xdr:nvSpPr>
            <xdr:cNvPr id="3282" name="ボタン3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25</xdr:row>
          <xdr:rowOff>19050</xdr:rowOff>
        </xdr:from>
        <xdr:to>
          <xdr:col>1</xdr:col>
          <xdr:colOff>400050</xdr:colOff>
          <xdr:row>25</xdr:row>
          <xdr:rowOff>219075</xdr:rowOff>
        </xdr:to>
        <xdr:sp macro="" textlink="">
          <xdr:nvSpPr>
            <xdr:cNvPr id="3283" name="ボタン4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26</xdr:row>
          <xdr:rowOff>28575</xdr:rowOff>
        </xdr:from>
        <xdr:to>
          <xdr:col>1</xdr:col>
          <xdr:colOff>400050</xdr:colOff>
          <xdr:row>26</xdr:row>
          <xdr:rowOff>228600</xdr:rowOff>
        </xdr:to>
        <xdr:sp macro="" textlink="">
          <xdr:nvSpPr>
            <xdr:cNvPr id="3284" name="ボタン5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28575</xdr:rowOff>
        </xdr:from>
        <xdr:to>
          <xdr:col>1</xdr:col>
          <xdr:colOff>400050</xdr:colOff>
          <xdr:row>27</xdr:row>
          <xdr:rowOff>228600</xdr:rowOff>
        </xdr:to>
        <xdr:sp macro="" textlink="">
          <xdr:nvSpPr>
            <xdr:cNvPr id="3285" name="ボタン6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28</xdr:row>
          <xdr:rowOff>28575</xdr:rowOff>
        </xdr:from>
        <xdr:to>
          <xdr:col>1</xdr:col>
          <xdr:colOff>400050</xdr:colOff>
          <xdr:row>28</xdr:row>
          <xdr:rowOff>228600</xdr:rowOff>
        </xdr:to>
        <xdr:sp macro="" textlink="">
          <xdr:nvSpPr>
            <xdr:cNvPr id="3286" name="ボタン7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29</xdr:row>
          <xdr:rowOff>19050</xdr:rowOff>
        </xdr:from>
        <xdr:to>
          <xdr:col>1</xdr:col>
          <xdr:colOff>400050</xdr:colOff>
          <xdr:row>29</xdr:row>
          <xdr:rowOff>219075</xdr:rowOff>
        </xdr:to>
        <xdr:sp macro="" textlink="">
          <xdr:nvSpPr>
            <xdr:cNvPr id="3287" name="ボタン8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904875</xdr:colOff>
          <xdr:row>2</xdr:row>
          <xdr:rowOff>190500</xdr:rowOff>
        </xdr:from>
        <xdr:to>
          <xdr:col>9</xdr:col>
          <xdr:colOff>571500</xdr:colOff>
          <xdr:row>4</xdr:row>
          <xdr:rowOff>47625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歯形・歯筋規格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219075</xdr:colOff>
          <xdr:row>2</xdr:row>
          <xdr:rowOff>190500</xdr:rowOff>
        </xdr:from>
        <xdr:to>
          <xdr:col>6</xdr:col>
          <xdr:colOff>1152525</xdr:colOff>
          <xdr:row>4</xdr:row>
          <xdr:rowOff>57150</xdr:rowOff>
        </xdr:to>
        <xdr:sp macro="" textlink="">
          <xdr:nvSpPr>
            <xdr:cNvPr id="3194" name="公差ボタン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公差</a:t>
              </a: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±表記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1247775</xdr:colOff>
          <xdr:row>2</xdr:row>
          <xdr:rowOff>190500</xdr:rowOff>
        </xdr:from>
        <xdr:to>
          <xdr:col>7</xdr:col>
          <xdr:colOff>809625</xdr:colOff>
          <xdr:row>4</xdr:row>
          <xdr:rowOff>57150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SVｱｰﾊﾞｰ軸径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摩耗限界値設定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2</xdr:row>
          <xdr:rowOff>190500</xdr:rowOff>
        </xdr:from>
        <xdr:to>
          <xdr:col>6</xdr:col>
          <xdr:colOff>114300</xdr:colOff>
          <xdr:row>4</xdr:row>
          <xdr:rowOff>57150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サイズ品 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371475</xdr:colOff>
          <xdr:row>1</xdr:row>
          <xdr:rowOff>876300</xdr:rowOff>
        </xdr:from>
        <xdr:to>
          <xdr:col>9</xdr:col>
          <xdr:colOff>666750</xdr:colOff>
          <xdr:row>4</xdr:row>
          <xdr:rowOff>133350</xdr:rowOff>
        </xdr:to>
        <xdr:sp macro="" textlink="">
          <xdr:nvSpPr>
            <xdr:cNvPr id="3223" name="Group Box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  設定ボタン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85725</xdr:colOff>
          <xdr:row>4</xdr:row>
          <xdr:rowOff>9525</xdr:rowOff>
        </xdr:from>
        <xdr:to>
          <xdr:col>4</xdr:col>
          <xdr:colOff>47625</xdr:colOff>
          <xdr:row>8</xdr:row>
          <xdr:rowOff>228600</xdr:rowOff>
        </xdr:to>
        <xdr:sp macro="" textlink="">
          <xdr:nvSpPr>
            <xdr:cNvPr id="3269" name="外作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4</xdr:row>
          <xdr:rowOff>19050</xdr:rowOff>
        </xdr:from>
        <xdr:to>
          <xdr:col>3</xdr:col>
          <xdr:colOff>85725</xdr:colOff>
          <xdr:row>6</xdr:row>
          <xdr:rowOff>47625</xdr:rowOff>
        </xdr:to>
        <xdr:sp macro="" textlink="">
          <xdr:nvSpPr>
            <xdr:cNvPr id="3271" name="前後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247650</xdr:colOff>
          <xdr:row>4</xdr:row>
          <xdr:rowOff>0</xdr:rowOff>
        </xdr:to>
        <xdr:sp macro="" textlink="">
          <xdr:nvSpPr>
            <xdr:cNvPr id="3268" name="外作選択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外作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19050</xdr:rowOff>
        </xdr:from>
        <xdr:to>
          <xdr:col>1</xdr:col>
          <xdr:colOff>685800</xdr:colOff>
          <xdr:row>6</xdr:row>
          <xdr:rowOff>161925</xdr:rowOff>
        </xdr:to>
        <xdr:sp macro="" textlink="">
          <xdr:nvSpPr>
            <xdr:cNvPr id="3288" name="工程_リスト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3</xdr:row>
          <xdr:rowOff>66675</xdr:rowOff>
        </xdr:from>
        <xdr:to>
          <xdr:col>1</xdr:col>
          <xdr:colOff>857250</xdr:colOff>
          <xdr:row>3</xdr:row>
          <xdr:rowOff>219075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20</xdr:row>
          <xdr:rowOff>19050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3384" name="Button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1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確認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95250</xdr:colOff>
      <xdr:row>19</xdr:row>
      <xdr:rowOff>123825</xdr:rowOff>
    </xdr:from>
    <xdr:to>
      <xdr:col>5</xdr:col>
      <xdr:colOff>161925</xdr:colOff>
      <xdr:row>30</xdr:row>
      <xdr:rowOff>114300</xdr:rowOff>
    </xdr:to>
    <xdr:sp macro="" textlink="">
      <xdr:nvSpPr>
        <xdr:cNvPr id="4076" name="size6">
          <a:extLst>
            <a:ext uri="{FF2B5EF4-FFF2-40B4-BE49-F238E27FC236}">
              <a16:creationId xmlns:a16="http://schemas.microsoft.com/office/drawing/2014/main" id="{00000000-0008-0000-0100-0000EC0F0000}"/>
            </a:ext>
          </a:extLst>
        </xdr:cNvPr>
        <xdr:cNvSpPr txBox="1">
          <a:spLocks noChangeArrowheads="1"/>
        </xdr:cNvSpPr>
      </xdr:nvSpPr>
      <xdr:spPr bwMode="auto">
        <a:xfrm>
          <a:off x="95250" y="5514975"/>
          <a:ext cx="4467225" cy="2714625"/>
        </a:xfrm>
        <a:prstGeom prst="rect">
          <a:avLst/>
        </a:prstGeom>
        <a:solidFill>
          <a:srgbClr val="A6CAF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0</xdr:row>
      <xdr:rowOff>104775</xdr:rowOff>
    </xdr:from>
    <xdr:to>
      <xdr:col>3</xdr:col>
      <xdr:colOff>409575</xdr:colOff>
      <xdr:row>2</xdr:row>
      <xdr:rowOff>76200</xdr:rowOff>
    </xdr:to>
    <xdr:sp macro="" textlink="">
      <xdr:nvSpPr>
        <xdr:cNvPr id="4099" name="テキスト 3">
          <a:extLst>
            <a:ext uri="{FF2B5EF4-FFF2-40B4-BE49-F238E27FC236}">
              <a16:creationId xmlns:a16="http://schemas.microsoft.com/office/drawing/2014/main" id="{00000000-0008-0000-0300-000003100000}"/>
            </a:ext>
          </a:extLst>
        </xdr:cNvPr>
        <xdr:cNvSpPr txBox="1">
          <a:spLocks noChangeArrowheads="1"/>
        </xdr:cNvSpPr>
      </xdr:nvSpPr>
      <xdr:spPr bwMode="auto">
        <a:xfrm>
          <a:off x="361950" y="104775"/>
          <a:ext cx="192405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8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歯 厚 計 算 画 面</a:t>
          </a:r>
        </a:p>
      </xdr:txBody>
    </xdr:sp>
    <xdr:clientData/>
  </xdr:twoCellAnchor>
  <xdr:twoCellAnchor>
    <xdr:from>
      <xdr:col>0</xdr:col>
      <xdr:colOff>361950</xdr:colOff>
      <xdr:row>0</xdr:row>
      <xdr:rowOff>104775</xdr:rowOff>
    </xdr:from>
    <xdr:to>
      <xdr:col>3</xdr:col>
      <xdr:colOff>409575</xdr:colOff>
      <xdr:row>2</xdr:row>
      <xdr:rowOff>76200</xdr:rowOff>
    </xdr:to>
    <xdr:sp macro="" textlink="">
      <xdr:nvSpPr>
        <xdr:cNvPr id="4100" name="Rectangle 4">
          <a:extLst>
            <a:ext uri="{FF2B5EF4-FFF2-40B4-BE49-F238E27FC236}">
              <a16:creationId xmlns:a16="http://schemas.microsoft.com/office/drawing/2014/main" id="{00000000-0008-0000-0300-000004100000}"/>
            </a:ext>
          </a:extLst>
        </xdr:cNvPr>
        <xdr:cNvSpPr>
          <a:spLocks noChangeArrowheads="1"/>
        </xdr:cNvSpPr>
      </xdr:nvSpPr>
      <xdr:spPr bwMode="auto">
        <a:xfrm>
          <a:off x="361950" y="104775"/>
          <a:ext cx="192405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/>
        <a:lstStyle/>
        <a:p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0</xdr:row>
          <xdr:rowOff>152400</xdr:rowOff>
        </xdr:from>
        <xdr:to>
          <xdr:col>9</xdr:col>
          <xdr:colOff>400050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入力ｼｰﾄへ戻る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0</xdr:row>
      <xdr:rowOff>104775</xdr:rowOff>
    </xdr:from>
    <xdr:to>
      <xdr:col>3</xdr:col>
      <xdr:colOff>409575</xdr:colOff>
      <xdr:row>2</xdr:row>
      <xdr:rowOff>76200</xdr:rowOff>
    </xdr:to>
    <xdr:sp macro="" textlink="">
      <xdr:nvSpPr>
        <xdr:cNvPr id="5123" name="テキスト 3">
          <a:extLst>
            <a:ext uri="{FF2B5EF4-FFF2-40B4-BE49-F238E27FC236}">
              <a16:creationId xmlns:a16="http://schemas.microsoft.com/office/drawing/2014/main" id="{00000000-0008-0000-0400-000003140000}"/>
            </a:ext>
          </a:extLst>
        </xdr:cNvPr>
        <xdr:cNvSpPr txBox="1">
          <a:spLocks noChangeArrowheads="1"/>
        </xdr:cNvSpPr>
      </xdr:nvSpPr>
      <xdr:spPr bwMode="auto">
        <a:xfrm>
          <a:off x="361950" y="104775"/>
          <a:ext cx="192405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8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歯 厚 計 算 画 面</a:t>
          </a:r>
        </a:p>
      </xdr:txBody>
    </xdr:sp>
    <xdr:clientData/>
  </xdr:twoCellAnchor>
  <xdr:twoCellAnchor>
    <xdr:from>
      <xdr:col>0</xdr:col>
      <xdr:colOff>361950</xdr:colOff>
      <xdr:row>0</xdr:row>
      <xdr:rowOff>104775</xdr:rowOff>
    </xdr:from>
    <xdr:to>
      <xdr:col>3</xdr:col>
      <xdr:colOff>409575</xdr:colOff>
      <xdr:row>2</xdr:row>
      <xdr:rowOff>76200</xdr:rowOff>
    </xdr:to>
    <xdr:sp macro="" textlink="">
      <xdr:nvSpPr>
        <xdr:cNvPr id="5124" name="Rectangle 4">
          <a:extLst>
            <a:ext uri="{FF2B5EF4-FFF2-40B4-BE49-F238E27FC236}">
              <a16:creationId xmlns:a16="http://schemas.microsoft.com/office/drawing/2014/main" id="{00000000-0008-0000-0400-000004140000}"/>
            </a:ext>
          </a:extLst>
        </xdr:cNvPr>
        <xdr:cNvSpPr>
          <a:spLocks noChangeArrowheads="1"/>
        </xdr:cNvSpPr>
      </xdr:nvSpPr>
      <xdr:spPr bwMode="auto">
        <a:xfrm>
          <a:off x="361950" y="104775"/>
          <a:ext cx="192405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/>
        <a:lstStyle/>
        <a:p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0</xdr:row>
          <xdr:rowOff>152400</xdr:rowOff>
        </xdr:from>
        <xdr:to>
          <xdr:col>9</xdr:col>
          <xdr:colOff>400050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入力ｼｰﾄへ戻る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152400</xdr:rowOff>
    </xdr:from>
    <xdr:to>
      <xdr:col>3</xdr:col>
      <xdr:colOff>685800</xdr:colOff>
      <xdr:row>2</xdr:row>
      <xdr:rowOff>9525</xdr:rowOff>
    </xdr:to>
    <xdr:sp macro="" textlink="">
      <xdr:nvSpPr>
        <xdr:cNvPr id="8193" name="四角形 1">
          <a:extLst>
            <a:ext uri="{FF2B5EF4-FFF2-40B4-BE49-F238E27FC236}">
              <a16:creationId xmlns:a16="http://schemas.microsoft.com/office/drawing/2014/main" id="{00000000-0008-0000-0700-000001200000}"/>
            </a:ext>
          </a:extLst>
        </xdr:cNvPr>
        <xdr:cNvSpPr>
          <a:spLocks noChangeArrowheads="1"/>
        </xdr:cNvSpPr>
      </xdr:nvSpPr>
      <xdr:spPr bwMode="auto">
        <a:xfrm>
          <a:off x="904875" y="152400"/>
          <a:ext cx="1485900" cy="266700"/>
        </a:xfrm>
        <a:prstGeom prst="roundRect">
          <a:avLst>
            <a:gd name="adj" fmla="val 16667"/>
          </a:avLst>
        </a:prstGeom>
        <a:solidFill>
          <a:srgbClr val="69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/>
        <a:lstStyle/>
        <a:p>
          <a:endParaRPr lang="ja-JP" altLang="en-US"/>
        </a:p>
      </xdr:txBody>
    </xdr:sp>
    <xdr:clientData/>
  </xdr:twoCellAnchor>
  <xdr:twoCellAnchor>
    <xdr:from>
      <xdr:col>2</xdr:col>
      <xdr:colOff>28575</xdr:colOff>
      <xdr:row>0</xdr:row>
      <xdr:rowOff>142875</xdr:rowOff>
    </xdr:from>
    <xdr:to>
      <xdr:col>3</xdr:col>
      <xdr:colOff>723900</xdr:colOff>
      <xdr:row>2</xdr:row>
      <xdr:rowOff>47625</xdr:rowOff>
    </xdr:to>
    <xdr:sp macro="" textlink="">
      <xdr:nvSpPr>
        <xdr:cNvPr id="8194" name="テキスト 2">
          <a:extLst>
            <a:ext uri="{FF2B5EF4-FFF2-40B4-BE49-F238E27FC236}">
              <a16:creationId xmlns:a16="http://schemas.microsoft.com/office/drawing/2014/main" id="{00000000-0008-0000-0700-000002200000}"/>
            </a:ext>
          </a:extLst>
        </xdr:cNvPr>
        <xdr:cNvSpPr txBox="1">
          <a:spLocks noChangeArrowheads="1"/>
        </xdr:cNvSpPr>
      </xdr:nvSpPr>
      <xdr:spPr bwMode="auto">
        <a:xfrm>
          <a:off x="933450" y="142875"/>
          <a:ext cx="1495425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900"/>
            </a:lnSpc>
            <a:defRPr sz="1000"/>
          </a:pPr>
          <a:r>
            <a:rPr lang="ja-JP" altLang="en-US" sz="16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現状切削条件調査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CS50\DOCUMENT\EPC0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共通マクロ"/>
      <sheetName val="Sheet1"/>
      <sheetName val="Sheet2"/>
      <sheetName val="Sheet3"/>
      <sheetName val="工作物"/>
      <sheetName val="NC内研盤仕様"/>
      <sheetName val="ストッカー"/>
      <sheetName val="ホブワーク表"/>
      <sheetName val="歯形歯筋規格"/>
      <sheetName val="改訂マーク"/>
      <sheetName val="歯研ﾃﾞｰﾀ"/>
      <sheetName val="換歯車設定"/>
      <sheetName val="一貫ホブ"/>
      <sheetName val="Mﾁｬｯｸ旋盤"/>
      <sheetName val="鍛造素材径"/>
      <sheetName val="軸工作図ｵﾌﾞｼﾞｪｸﾄ"/>
      <sheetName val="マクロ"/>
      <sheetName val="マクロ2"/>
      <sheetName val="Module3"/>
      <sheetName val="マクロ4"/>
      <sheetName val="共通部品マクロ"/>
    </sheetNames>
    <definedNames>
      <definedName name="CAD図面_取込み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9.x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4.xml"/><Relationship Id="rId20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5" Type="http://schemas.openxmlformats.org/officeDocument/2006/relationships/ctrlProp" Target="../ctrlProps/ctrlProp23.xml"/><Relationship Id="rId10" Type="http://schemas.openxmlformats.org/officeDocument/2006/relationships/ctrlProp" Target="../ctrlProps/ctrlProp18.xml"/><Relationship Id="rId19" Type="http://schemas.openxmlformats.org/officeDocument/2006/relationships/ctrlProp" Target="../ctrlProps/ctrlProp27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Relationship Id="rId22" Type="http://schemas.openxmlformats.org/officeDocument/2006/relationships/ctrlProp" Target="../ctrlProps/ctrlProp3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69"/>
  <sheetViews>
    <sheetView showGridLines="0" showRowColHeaders="0" tabSelected="1" zoomScaleNormal="100" workbookViewId="0">
      <selection activeCell="BQ3" sqref="BQ3"/>
    </sheetView>
  </sheetViews>
  <sheetFormatPr defaultRowHeight="13.5"/>
  <cols>
    <col min="1" max="1" width="2.875" customWidth="1"/>
    <col min="2" max="2" width="1.25" customWidth="1"/>
    <col min="3" max="3" width="3.625" customWidth="1"/>
    <col min="4" max="4" width="2.5" customWidth="1"/>
    <col min="5" max="18" width="2.875" customWidth="1"/>
    <col min="19" max="19" width="2.375" customWidth="1"/>
    <col min="20" max="20" width="2.875" customWidth="1"/>
    <col min="21" max="21" width="3.375" customWidth="1"/>
    <col min="22" max="22" width="3.625" customWidth="1"/>
    <col min="23" max="23" width="2.125" customWidth="1"/>
    <col min="24" max="26" width="2.875" customWidth="1"/>
    <col min="27" max="27" width="2.375" customWidth="1"/>
    <col min="28" max="28" width="3.375" customWidth="1"/>
    <col min="29" max="33" width="2.875" customWidth="1"/>
    <col min="34" max="34" width="3.25" customWidth="1"/>
    <col min="35" max="57" width="2" customWidth="1"/>
    <col min="58" max="58" width="2.125" customWidth="1"/>
    <col min="59" max="59" width="2" customWidth="1"/>
    <col min="60" max="95" width="2.5" customWidth="1"/>
  </cols>
  <sheetData>
    <row r="1" spans="1:65" ht="12.75" customHeight="1">
      <c r="A1" s="80"/>
      <c r="E1" t="str">
        <f>IF(AD26="","",T(VLOOKUP(AD26,$AJ$9:$AN$94,2)))</f>
        <v/>
      </c>
      <c r="AL1" s="24"/>
      <c r="AM1" s="79"/>
      <c r="AN1" s="24"/>
      <c r="AO1" s="24"/>
      <c r="AP1" s="24"/>
      <c r="AQ1" s="24"/>
      <c r="AR1" s="24"/>
      <c r="AS1" s="170"/>
      <c r="AT1" s="24"/>
      <c r="AU1" s="24"/>
      <c r="AV1" s="24"/>
      <c r="AW1" s="24"/>
    </row>
    <row r="2" spans="1:65" ht="11.25" customHeight="1"/>
    <row r="3" spans="1:65" ht="12" customHeight="1"/>
    <row r="4" spans="1:65" ht="15.75" customHeight="1"/>
    <row r="5" spans="1:65" ht="19.5" customHeight="1">
      <c r="B5" s="1"/>
      <c r="D5" s="13"/>
      <c r="E5" s="13"/>
      <c r="F5" s="13"/>
      <c r="G5" s="13"/>
      <c r="H5" s="13"/>
      <c r="I5" s="2"/>
      <c r="N5" s="7"/>
    </row>
    <row r="6" spans="1:65" ht="16.5" customHeight="1">
      <c r="AI6" s="75" t="s">
        <v>0</v>
      </c>
      <c r="AJ6" s="74"/>
      <c r="AK6" s="74"/>
      <c r="AL6" s="75" t="s">
        <v>0</v>
      </c>
      <c r="AM6" s="74"/>
      <c r="AN6" s="74"/>
      <c r="AO6" s="330" t="s">
        <v>0</v>
      </c>
      <c r="AP6" s="331"/>
      <c r="AQ6" s="331"/>
      <c r="AR6" s="330" t="s">
        <v>0</v>
      </c>
      <c r="AS6" s="331"/>
      <c r="AT6" s="331"/>
      <c r="AU6" s="330" t="s">
        <v>0</v>
      </c>
      <c r="AV6" s="331"/>
      <c r="AW6" s="331"/>
      <c r="AX6" s="330" t="s">
        <v>0</v>
      </c>
      <c r="AY6" s="331"/>
      <c r="AZ6" s="331"/>
      <c r="BA6" s="330" t="s">
        <v>0</v>
      </c>
      <c r="BB6" s="331"/>
      <c r="BC6" s="331"/>
      <c r="BD6" s="75" t="s">
        <v>0</v>
      </c>
      <c r="BE6" s="74"/>
      <c r="BF6" s="74"/>
    </row>
    <row r="7" spans="1:65" ht="38.25" customHeight="1">
      <c r="T7" s="14" t="s">
        <v>1</v>
      </c>
      <c r="U7" s="14"/>
      <c r="V7" s="14"/>
      <c r="W7" s="14"/>
      <c r="X7" s="88" t="str">
        <f>T(貼付けｼｰﾄ!B1)</f>
        <v>シェービング</v>
      </c>
      <c r="Y7" s="71"/>
      <c r="Z7" s="16"/>
      <c r="AA7" s="16"/>
      <c r="AB7" s="16"/>
      <c r="AC7" s="16"/>
      <c r="AD7" s="16"/>
      <c r="AE7" s="14" t="s">
        <v>2</v>
      </c>
      <c r="AF7" s="14"/>
      <c r="AG7" s="14"/>
      <c r="AH7" s="14"/>
      <c r="AI7" s="33" t="s">
        <v>3</v>
      </c>
      <c r="AJ7" s="16"/>
      <c r="AK7" s="16"/>
      <c r="AL7" s="16"/>
      <c r="AM7" s="16"/>
      <c r="AN7" s="16"/>
      <c r="AO7" s="2"/>
      <c r="AR7" s="87"/>
      <c r="AS7" s="2"/>
      <c r="AT7" s="2"/>
      <c r="AU7" s="3"/>
      <c r="AV7" s="2"/>
      <c r="AW7" s="17" t="s">
        <v>4</v>
      </c>
      <c r="AX7" s="15"/>
      <c r="AY7" s="15"/>
      <c r="AZ7" s="15"/>
      <c r="BA7" s="16"/>
      <c r="BB7" s="81" t="s">
        <v>279</v>
      </c>
      <c r="BC7" s="82"/>
      <c r="BD7" s="17"/>
      <c r="BE7" s="17"/>
      <c r="BF7" s="17"/>
    </row>
    <row r="8" spans="1:65" ht="6.75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</row>
    <row r="9" spans="1:65" ht="22.5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15" t="s">
        <v>5</v>
      </c>
      <c r="Q9" s="15"/>
      <c r="R9" s="16"/>
      <c r="S9" s="71" t="str">
        <f>T(入力ｼｰﾄ!C4)</f>
        <v>バリ取り</v>
      </c>
      <c r="T9" s="33"/>
      <c r="U9" s="33"/>
      <c r="V9" s="33"/>
      <c r="W9" s="33"/>
      <c r="X9" s="14" t="s">
        <v>6</v>
      </c>
      <c r="Y9" s="14"/>
      <c r="Z9" s="14"/>
      <c r="AA9" s="71" t="str">
        <f>T(入力ｼｰﾄ!D4)</f>
        <v>熱処理</v>
      </c>
      <c r="AB9" s="33"/>
      <c r="AC9" s="33"/>
      <c r="AD9" s="33"/>
      <c r="AE9" s="33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</row>
    <row r="10" spans="1:65">
      <c r="A10" s="2"/>
      <c r="B10" s="2"/>
      <c r="C10" s="2"/>
      <c r="D10" s="2"/>
      <c r="E10" s="2"/>
      <c r="F10" s="2"/>
      <c r="G10" s="2"/>
      <c r="H10" s="2"/>
      <c r="I10" s="2"/>
      <c r="J10" s="2"/>
      <c r="K10" s="29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</row>
    <row r="11" spans="1:65">
      <c r="A11" s="2"/>
      <c r="B11" s="2"/>
      <c r="C11" s="29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9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</row>
    <row r="12" spans="1:65" ht="11.25" customHeight="1">
      <c r="A12" s="2"/>
      <c r="B12" s="2"/>
      <c r="C12" s="29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9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</row>
    <row r="13" spans="1:65" ht="16.5" customHeight="1">
      <c r="A13" s="2"/>
      <c r="B13" s="2"/>
      <c r="C13" s="29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9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5"/>
      <c r="AL13" s="2"/>
      <c r="AM13" s="2"/>
      <c r="AN13" s="2"/>
      <c r="AO13" s="12"/>
      <c r="AP13" s="86" t="s">
        <v>7</v>
      </c>
      <c r="AQ13" s="17"/>
      <c r="AR13" s="17"/>
      <c r="AS13" s="15"/>
      <c r="AT13" s="16"/>
      <c r="AU13" s="104" t="s">
        <v>8</v>
      </c>
      <c r="AV13" s="105"/>
      <c r="AW13" s="71">
        <f>IF(入力ｼｰﾄ!D18="","－",入力ｼｰﾄ!D18)</f>
        <v>4</v>
      </c>
      <c r="AX13" s="15"/>
      <c r="AY13" s="15"/>
      <c r="AZ13" s="15"/>
      <c r="BA13" s="15"/>
      <c r="BB13" s="101"/>
      <c r="BC13" s="102"/>
      <c r="BD13" s="103" t="s">
        <v>9</v>
      </c>
      <c r="BE13" s="102"/>
      <c r="BF13" s="100" t="s">
        <v>10</v>
      </c>
    </row>
    <row r="14" spans="1:65" ht="16.5" customHeight="1">
      <c r="A14" s="2"/>
      <c r="B14" s="2"/>
      <c r="C14" s="29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9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8"/>
      <c r="AH14" s="2"/>
      <c r="AI14" s="2"/>
      <c r="AJ14" s="2"/>
      <c r="AK14" s="2"/>
      <c r="AL14" s="2"/>
      <c r="AM14" s="2"/>
      <c r="AN14" s="2"/>
      <c r="AO14" s="2"/>
      <c r="AP14" s="15"/>
      <c r="AQ14" s="15"/>
      <c r="AR14" s="15"/>
      <c r="AS14" s="15"/>
      <c r="AT14" s="16"/>
      <c r="AU14" s="104"/>
      <c r="AV14" s="105"/>
      <c r="AW14" s="15"/>
      <c r="AX14" s="15"/>
      <c r="AY14" s="15"/>
      <c r="AZ14" s="15"/>
      <c r="BA14" s="15"/>
      <c r="BB14" s="103"/>
      <c r="BC14" s="102"/>
      <c r="BD14" s="103"/>
      <c r="BE14" s="102"/>
      <c r="BF14" s="100"/>
    </row>
    <row r="15" spans="1:65" ht="16.5" customHeight="1">
      <c r="A15" s="2"/>
      <c r="B15" s="2"/>
      <c r="C15" s="29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9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5"/>
      <c r="AM15" s="2"/>
      <c r="AN15" s="2"/>
      <c r="AO15" s="2"/>
      <c r="AP15" s="30"/>
      <c r="AQ15" s="69"/>
      <c r="AR15" s="69"/>
      <c r="AS15" s="69"/>
      <c r="AT15" s="16"/>
      <c r="AU15" s="104" t="s">
        <v>8</v>
      </c>
      <c r="AV15" s="105"/>
      <c r="AW15" s="33" t="str">
        <f>IF(入力ｼｰﾄ!E7="","－",入力ｼｰﾄ!E7)</f>
        <v>27.86±0.01</v>
      </c>
      <c r="AX15" s="14"/>
      <c r="AY15" s="14"/>
      <c r="AZ15" s="14"/>
      <c r="BA15" s="15"/>
      <c r="BB15" s="104" t="s">
        <v>8</v>
      </c>
      <c r="BC15" s="105"/>
      <c r="BD15" s="103"/>
      <c r="BE15" s="102"/>
      <c r="BF15" s="100" t="s">
        <v>10</v>
      </c>
    </row>
    <row r="16" spans="1:65" ht="16.5" customHeight="1">
      <c r="A16" s="2"/>
      <c r="B16" s="2"/>
      <c r="C16" s="29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9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104" t="s">
        <v>11</v>
      </c>
      <c r="AQ16" s="15"/>
      <c r="AR16" s="15"/>
      <c r="AS16" s="15"/>
      <c r="AT16" s="16"/>
      <c r="AU16" s="104" t="s">
        <v>11</v>
      </c>
      <c r="AV16" s="105"/>
      <c r="AW16" s="18" t="s">
        <v>12</v>
      </c>
      <c r="AX16" s="17"/>
      <c r="AY16" s="17"/>
      <c r="AZ16" s="17"/>
      <c r="BA16" s="15"/>
      <c r="BB16" s="104" t="s">
        <v>11</v>
      </c>
      <c r="BC16" s="105"/>
      <c r="BD16" s="104" t="s">
        <v>11</v>
      </c>
      <c r="BE16" s="105"/>
      <c r="BF16" s="100" t="s">
        <v>11</v>
      </c>
      <c r="BM16" s="98"/>
    </row>
    <row r="17" spans="1:58" ht="16.5" customHeight="1">
      <c r="A17" s="2"/>
      <c r="B17" s="2"/>
      <c r="C17" s="29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9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5"/>
      <c r="AM17" s="2"/>
      <c r="AN17" s="2"/>
      <c r="AO17" s="2"/>
      <c r="AP17" s="104" t="s">
        <v>11</v>
      </c>
      <c r="AQ17" s="15"/>
      <c r="AR17" s="15"/>
      <c r="AS17" s="15"/>
      <c r="AT17" s="16"/>
      <c r="AU17" s="104" t="s">
        <v>11</v>
      </c>
      <c r="AV17" s="105"/>
      <c r="AW17" s="71" t="str">
        <f>IF(入力ｼｰﾄ!H16="","－",入力ｼｰﾄ!H16 &amp; "≧")</f>
        <v>0.02≧</v>
      </c>
      <c r="AX17" s="17"/>
      <c r="AY17" s="17"/>
      <c r="AZ17" s="17"/>
      <c r="BA17" s="15"/>
      <c r="BB17" s="104" t="s">
        <v>11</v>
      </c>
      <c r="BC17" s="105"/>
      <c r="BD17" s="104" t="s">
        <v>11</v>
      </c>
      <c r="BE17" s="105"/>
      <c r="BF17" s="100" t="s">
        <v>11</v>
      </c>
    </row>
    <row r="18" spans="1:58" ht="16.5" customHeight="1">
      <c r="A18" s="2"/>
      <c r="B18" s="2"/>
      <c r="C18" s="29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Q18" s="2"/>
      <c r="R18" s="2"/>
      <c r="S18" s="2"/>
      <c r="T18" s="2"/>
      <c r="U18" s="29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104" t="s">
        <v>11</v>
      </c>
      <c r="AQ18" s="15"/>
      <c r="AR18" s="15"/>
      <c r="AS18" s="15"/>
      <c r="AT18" s="16"/>
      <c r="AU18" s="104" t="s">
        <v>11</v>
      </c>
      <c r="AV18" s="105"/>
      <c r="AW18" s="18" t="s">
        <v>12</v>
      </c>
      <c r="AX18" s="17"/>
      <c r="AY18" s="17"/>
      <c r="AZ18" s="17"/>
      <c r="BA18" s="15"/>
      <c r="BB18" s="104" t="s">
        <v>11</v>
      </c>
      <c r="BC18" s="105"/>
      <c r="BD18" s="104" t="s">
        <v>11</v>
      </c>
      <c r="BE18" s="105"/>
      <c r="BF18" s="100" t="s">
        <v>11</v>
      </c>
    </row>
    <row r="19" spans="1:58" ht="16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14"/>
      <c r="Q19" s="2"/>
      <c r="R19" s="2"/>
      <c r="S19" s="106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15"/>
      <c r="AG19" s="2"/>
      <c r="AH19" s="2"/>
      <c r="AI19" s="2"/>
      <c r="AJ19" s="2"/>
      <c r="AK19" s="2"/>
      <c r="AL19" s="5"/>
      <c r="AM19" s="2"/>
      <c r="AN19" s="2"/>
      <c r="AO19" s="2"/>
      <c r="AP19" s="30" t="s">
        <v>13</v>
      </c>
      <c r="AQ19" s="69"/>
      <c r="AR19" s="69"/>
      <c r="AS19" s="69"/>
      <c r="AT19" s="16"/>
      <c r="AU19" s="104" t="s">
        <v>11</v>
      </c>
      <c r="AV19" s="105"/>
      <c r="AW19" s="68" t="str">
        <f>IF(入力ｼｰﾄ!E10="","－",入力ｼｰﾄ!E10 )</f>
        <v>ヤマハ4級</v>
      </c>
      <c r="AX19" s="17"/>
      <c r="AY19" s="17"/>
      <c r="AZ19" s="17"/>
      <c r="BA19" s="15"/>
      <c r="BB19" s="104" t="s">
        <v>11</v>
      </c>
      <c r="BC19" s="105"/>
      <c r="BD19" s="104" t="s">
        <v>11</v>
      </c>
      <c r="BE19" s="105"/>
      <c r="BF19" s="100" t="s">
        <v>14</v>
      </c>
    </row>
    <row r="20" spans="1:58" ht="16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104" t="s">
        <v>11</v>
      </c>
      <c r="AQ20" s="15"/>
      <c r="AR20" s="15"/>
      <c r="AS20" s="15"/>
      <c r="AT20" s="16"/>
      <c r="AU20" s="104" t="s">
        <v>0</v>
      </c>
      <c r="AV20" s="105"/>
      <c r="AW20" s="18" t="s">
        <v>15</v>
      </c>
      <c r="AX20" s="17"/>
      <c r="AY20" s="17"/>
      <c r="AZ20" s="17"/>
      <c r="BA20" s="15"/>
      <c r="BB20" s="103"/>
      <c r="BC20" s="102"/>
      <c r="BD20" s="103"/>
      <c r="BE20" s="102"/>
      <c r="BF20" s="100" t="s">
        <v>11</v>
      </c>
    </row>
    <row r="21" spans="1:58" ht="16.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9"/>
      <c r="V21" s="29"/>
      <c r="W21" s="29"/>
      <c r="X21" s="29"/>
      <c r="Y21" s="29"/>
      <c r="Z21" s="2"/>
      <c r="AB21" s="15"/>
      <c r="AC21" s="2"/>
      <c r="AD21" s="2"/>
      <c r="AE21" s="2"/>
      <c r="AF21" s="2"/>
      <c r="AG21" s="2"/>
      <c r="AH21" s="2"/>
      <c r="AI21" s="2"/>
      <c r="AJ21" s="2"/>
      <c r="AK21" s="2"/>
      <c r="AL21" s="5"/>
      <c r="AM21" s="2"/>
      <c r="AN21" s="2"/>
      <c r="AO21" s="2"/>
      <c r="AP21" s="86" t="s">
        <v>7</v>
      </c>
      <c r="AQ21" s="17"/>
      <c r="AR21" s="17"/>
      <c r="AS21" s="15"/>
      <c r="AT21" s="16"/>
      <c r="AU21" s="104" t="s">
        <v>8</v>
      </c>
      <c r="AV21" s="105"/>
      <c r="AW21" s="85"/>
      <c r="AX21" s="8"/>
      <c r="AY21" s="8"/>
      <c r="AZ21" s="8"/>
      <c r="BA21" s="2"/>
      <c r="BB21" s="104" t="s">
        <v>8</v>
      </c>
      <c r="BC21" s="105"/>
      <c r="BD21" s="341"/>
      <c r="BE21" s="342"/>
      <c r="BF21" s="100" t="s">
        <v>10</v>
      </c>
    </row>
    <row r="22" spans="1:58" ht="16.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104" t="s">
        <v>11</v>
      </c>
      <c r="AQ22" s="15"/>
      <c r="AR22" s="15"/>
      <c r="AS22" s="15"/>
      <c r="AT22" s="16"/>
      <c r="AU22" s="104" t="s">
        <v>232</v>
      </c>
      <c r="AV22" s="105"/>
      <c r="AW22" s="18" t="s">
        <v>16</v>
      </c>
      <c r="AX22" s="17"/>
      <c r="AY22" s="17"/>
      <c r="AZ22" s="17"/>
      <c r="BA22" s="15"/>
      <c r="BB22" s="104" t="s">
        <v>11</v>
      </c>
      <c r="BC22" s="105"/>
      <c r="BD22" s="104" t="s">
        <v>11</v>
      </c>
      <c r="BE22" s="105"/>
      <c r="BF22" s="100" t="s">
        <v>11</v>
      </c>
    </row>
    <row r="23" spans="1:58" ht="16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30" t="s">
        <v>13</v>
      </c>
      <c r="AQ23" s="17"/>
      <c r="AR23" s="17"/>
      <c r="AS23" s="15"/>
      <c r="AT23" s="16"/>
      <c r="AU23" s="104" t="s">
        <v>8</v>
      </c>
      <c r="AV23" s="105"/>
      <c r="AW23" s="316" t="s">
        <v>233</v>
      </c>
      <c r="AX23" s="17"/>
      <c r="AY23" s="17"/>
      <c r="AZ23" s="17"/>
      <c r="BA23" s="15"/>
      <c r="BB23" s="104" t="s">
        <v>11</v>
      </c>
      <c r="BC23" s="105"/>
      <c r="BD23" s="104" t="s">
        <v>11</v>
      </c>
      <c r="BE23" s="105"/>
      <c r="BF23" s="100" t="s">
        <v>14</v>
      </c>
    </row>
    <row r="24" spans="1:58" ht="16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104"/>
      <c r="AQ24" s="15"/>
      <c r="AR24" s="15"/>
      <c r="AS24" s="15"/>
      <c r="AT24" s="16"/>
      <c r="AU24" s="104"/>
      <c r="AV24" s="105"/>
      <c r="AW24" s="18"/>
      <c r="AX24" s="17"/>
      <c r="AY24" s="17"/>
      <c r="AZ24" s="17"/>
      <c r="BA24" s="15"/>
      <c r="BB24" s="104"/>
      <c r="BC24" s="105"/>
      <c r="BD24" s="104"/>
      <c r="BE24" s="105"/>
      <c r="BF24" s="100"/>
    </row>
    <row r="25" spans="1:58" ht="15.2" customHeight="1">
      <c r="A25" s="2"/>
      <c r="B25" s="2"/>
      <c r="C25" s="2"/>
      <c r="D25" s="2"/>
      <c r="E25" s="2"/>
      <c r="F25" s="2"/>
      <c r="H25" s="2"/>
      <c r="I25" s="2"/>
      <c r="J25" s="2"/>
      <c r="K25" s="2"/>
      <c r="L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343" t="s">
        <v>234</v>
      </c>
      <c r="AM25" s="344"/>
      <c r="AN25" s="344"/>
      <c r="AO25" s="344"/>
      <c r="AP25" s="344"/>
      <c r="AQ25" s="344"/>
      <c r="AR25" s="344"/>
      <c r="AS25" s="344"/>
      <c r="AT25" s="344"/>
      <c r="AU25" s="344"/>
      <c r="AV25" s="344"/>
      <c r="AW25" s="344"/>
      <c r="AX25" s="344"/>
      <c r="AY25" s="344"/>
      <c r="AZ25" s="344"/>
      <c r="BA25" s="344"/>
      <c r="BB25" s="344"/>
      <c r="BC25" s="344"/>
      <c r="BD25" s="344"/>
      <c r="BE25" s="344"/>
      <c r="BF25" s="344"/>
    </row>
    <row r="26" spans="1:58" ht="15.2" customHeight="1">
      <c r="A26" s="2"/>
      <c r="B26" s="2"/>
      <c r="C26" s="2"/>
      <c r="D26" s="2"/>
      <c r="E26" s="2"/>
      <c r="F26" s="2"/>
      <c r="H26" s="2"/>
      <c r="I26" s="2"/>
      <c r="J26" s="2"/>
      <c r="K26" s="2"/>
      <c r="L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344"/>
      <c r="AM26" s="344"/>
      <c r="AN26" s="344"/>
      <c r="AO26" s="344"/>
      <c r="AP26" s="344"/>
      <c r="AQ26" s="344"/>
      <c r="AR26" s="344"/>
      <c r="AS26" s="344"/>
      <c r="AT26" s="344"/>
      <c r="AU26" s="344"/>
      <c r="AV26" s="344"/>
      <c r="AW26" s="344"/>
      <c r="AX26" s="344"/>
      <c r="AY26" s="344"/>
      <c r="AZ26" s="344"/>
      <c r="BA26" s="344"/>
      <c r="BB26" s="344"/>
      <c r="BC26" s="344"/>
      <c r="BD26" s="344"/>
      <c r="BE26" s="344"/>
      <c r="BF26" s="344"/>
    </row>
    <row r="27" spans="1:58" ht="15.2" customHeight="1">
      <c r="A27" s="2"/>
      <c r="B27" s="2"/>
      <c r="C27" s="2"/>
      <c r="D27" s="2"/>
      <c r="E27" s="2"/>
      <c r="F27" s="2"/>
      <c r="H27" s="2"/>
      <c r="I27" s="2"/>
      <c r="J27" s="2"/>
      <c r="K27" s="2"/>
      <c r="L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344"/>
      <c r="AM27" s="344"/>
      <c r="AN27" s="344"/>
      <c r="AO27" s="344"/>
      <c r="AP27" s="344"/>
      <c r="AQ27" s="344"/>
      <c r="AR27" s="344"/>
      <c r="AS27" s="344"/>
      <c r="AT27" s="344"/>
      <c r="AU27" s="344"/>
      <c r="AV27" s="344"/>
      <c r="AW27" s="344"/>
      <c r="AX27" s="344"/>
      <c r="AY27" s="344"/>
      <c r="AZ27" s="344"/>
      <c r="BA27" s="344"/>
      <c r="BB27" s="344"/>
      <c r="BC27" s="344"/>
      <c r="BD27" s="344"/>
      <c r="BE27" s="344"/>
      <c r="BF27" s="344"/>
    </row>
    <row r="28" spans="1:58" ht="22.5" customHeight="1">
      <c r="A28" s="2"/>
      <c r="B28" s="2"/>
      <c r="C28" s="2"/>
      <c r="D28" s="2"/>
      <c r="E28" s="2"/>
      <c r="F28" s="2"/>
      <c r="H28" s="2"/>
      <c r="I28" s="2"/>
      <c r="J28" s="2"/>
      <c r="K28" s="2"/>
      <c r="L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17" t="s">
        <v>17</v>
      </c>
      <c r="AM28" s="15"/>
      <c r="AN28" s="15"/>
      <c r="AO28" s="15"/>
      <c r="AP28" s="15"/>
      <c r="AQ28" s="15"/>
      <c r="AR28" s="15"/>
      <c r="AS28" s="15"/>
      <c r="AT28" s="15"/>
      <c r="AU28" s="16"/>
      <c r="AV28" s="78">
        <f>IF(入力ｼｰﾄ!D19="","－", 入力ｼｰﾄ!D19)</f>
        <v>5</v>
      </c>
      <c r="AW28" s="68"/>
      <c r="AX28" s="68"/>
      <c r="AY28" s="68"/>
      <c r="AZ28" s="68"/>
      <c r="BA28" s="68"/>
      <c r="BB28" s="68"/>
      <c r="BC28" s="68"/>
      <c r="BD28" s="68"/>
      <c r="BE28" s="68"/>
      <c r="BF28" s="68"/>
    </row>
    <row r="29" spans="1:58" ht="22.5" customHeight="1">
      <c r="A29" s="2"/>
      <c r="B29" s="2"/>
      <c r="C29" s="2"/>
      <c r="D29" s="2"/>
      <c r="E29" s="2"/>
      <c r="F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17" t="s">
        <v>18</v>
      </c>
      <c r="AM29" s="15"/>
      <c r="AN29" s="15"/>
      <c r="AO29" s="15"/>
      <c r="AP29" s="15"/>
      <c r="AQ29" s="15"/>
      <c r="AR29" s="15"/>
      <c r="AS29" s="15"/>
      <c r="AT29" s="15"/>
      <c r="AU29" s="16"/>
      <c r="AV29" s="317" t="str">
        <f>IF(入力ｼｰﾄ!D18="","－","①  " &amp; 入力ｼｰﾄ!D18)</f>
        <v>①  4</v>
      </c>
      <c r="AW29" s="318"/>
      <c r="AX29" s="318"/>
      <c r="AY29" s="318"/>
      <c r="AZ29" s="318"/>
      <c r="BA29" s="318"/>
      <c r="BB29" s="318"/>
      <c r="BC29" s="318"/>
      <c r="BD29" s="318"/>
      <c r="BE29" s="318"/>
      <c r="BF29" s="318"/>
    </row>
    <row r="30" spans="1:58" ht="18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15" t="s">
        <v>19</v>
      </c>
      <c r="AM30" s="15"/>
      <c r="AN30" s="15"/>
      <c r="AO30" s="15"/>
      <c r="AP30" s="15"/>
      <c r="AQ30" s="15"/>
      <c r="AR30" s="15"/>
      <c r="AS30" s="15"/>
      <c r="AT30" s="15"/>
      <c r="AU30" s="16"/>
      <c r="AV30" s="322">
        <f>IF(入力ｼｰﾄ!H7="","－",入力ｼｰﾄ!H7)</f>
        <v>2.5</v>
      </c>
      <c r="AW30" s="323"/>
      <c r="AX30" s="323"/>
      <c r="AY30" s="323"/>
      <c r="AZ30" s="323"/>
      <c r="BA30" s="323"/>
      <c r="BB30" s="323"/>
      <c r="BC30" s="323"/>
      <c r="BD30" s="323"/>
      <c r="BE30" s="323"/>
      <c r="BF30" s="323"/>
    </row>
    <row r="31" spans="1:58" ht="18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15" t="s">
        <v>20</v>
      </c>
      <c r="AM31" s="15"/>
      <c r="AN31" s="15"/>
      <c r="AO31" s="15"/>
      <c r="AP31" s="15"/>
      <c r="AQ31" s="15"/>
      <c r="AR31" s="15"/>
      <c r="AS31" s="15"/>
      <c r="AT31" s="15"/>
      <c r="AU31" s="16"/>
      <c r="AV31" s="322" t="str">
        <f>IF(入力ｼｰﾄ!H8="","－",入力ｼｰﾄ!H8&amp;"°")</f>
        <v>20°</v>
      </c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</row>
    <row r="32" spans="1:58" ht="18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15" t="s">
        <v>21</v>
      </c>
      <c r="AM32" s="15"/>
      <c r="AN32" s="15"/>
      <c r="AO32" s="15"/>
      <c r="AP32" s="15"/>
      <c r="AQ32" s="15"/>
      <c r="AR32" s="15"/>
      <c r="AS32" s="15"/>
      <c r="AT32" s="15"/>
      <c r="AU32" s="16"/>
      <c r="AV32" s="322">
        <f>IF(入力ｼｰﾄ!H9="","－",入力ｼｰﾄ!H9)</f>
        <v>22</v>
      </c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</row>
    <row r="33" spans="1:58" ht="18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6"/>
      <c r="S33" s="11" t="s">
        <v>22</v>
      </c>
      <c r="T33" s="34" t="s">
        <v>23</v>
      </c>
      <c r="U33" s="15"/>
      <c r="V33" s="16"/>
      <c r="W33" s="171" t="str">
        <f>IF(入力ｼｰﾄ!K7="","－",入力ｼｰﾄ!K7)</f>
        <v>XX ～ XXμｍ</v>
      </c>
      <c r="X33" s="33"/>
      <c r="Y33" s="33"/>
      <c r="Z33" s="33"/>
      <c r="AA33" s="72" t="s">
        <v>24</v>
      </c>
      <c r="AB33" s="33" t="s">
        <v>25</v>
      </c>
      <c r="AC33" s="17"/>
      <c r="AD33" s="17"/>
      <c r="AE33" s="68" t="str">
        <f>IF(入力ｼｰﾄ!K12="","－",入力ｼｰﾄ!K12)</f>
        <v>－</v>
      </c>
      <c r="AF33" s="33"/>
      <c r="AG33" s="33"/>
      <c r="AH33" s="17"/>
      <c r="AI33" s="2"/>
      <c r="AJ33" s="2"/>
      <c r="AK33" s="2"/>
      <c r="AL33" s="15" t="s">
        <v>26</v>
      </c>
      <c r="AM33" s="15"/>
      <c r="AN33" s="15"/>
      <c r="AO33" s="15"/>
      <c r="AP33" s="15"/>
      <c r="AQ33" s="15"/>
      <c r="AR33" s="15"/>
      <c r="AS33" s="15"/>
      <c r="AT33" s="15"/>
      <c r="AU33" s="16"/>
      <c r="AV33" s="106" t="str">
        <f>IF(入力ｼｰﾄ!H11="","－",入力ｼｰﾄ!H11)</f>
        <v>－</v>
      </c>
      <c r="AW33" s="68"/>
      <c r="AX33" s="68"/>
      <c r="AY33" s="68"/>
      <c r="AZ33" s="68"/>
      <c r="BA33" s="68"/>
      <c r="BB33" s="68"/>
      <c r="BC33" s="68"/>
      <c r="BD33" s="68"/>
      <c r="BE33" s="68"/>
      <c r="BF33" s="68"/>
    </row>
    <row r="34" spans="1:58" ht="18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6"/>
      <c r="S34" s="11" t="s">
        <v>27</v>
      </c>
      <c r="T34" s="34" t="s">
        <v>28</v>
      </c>
      <c r="U34" s="15"/>
      <c r="V34" s="15"/>
      <c r="W34" s="68" t="str">
        <f>IF(入力ｼｰﾄ!K8="","－",入力ｼｰﾄ!K8)</f>
        <v>－</v>
      </c>
      <c r="X34" s="33"/>
      <c r="Y34" s="33"/>
      <c r="Z34" s="33"/>
      <c r="AA34" s="73" t="s">
        <v>29</v>
      </c>
      <c r="AB34" s="32" t="s">
        <v>30</v>
      </c>
      <c r="AC34" s="32"/>
      <c r="AD34" s="33"/>
      <c r="AE34" s="68" t="str">
        <f>IF(入力ｼｰﾄ!K13="","－",入力ｼｰﾄ!K13)</f>
        <v>－</v>
      </c>
      <c r="AF34" s="33"/>
      <c r="AG34" s="33"/>
      <c r="AH34" s="17"/>
      <c r="AI34" s="2"/>
      <c r="AJ34" s="2"/>
      <c r="AK34" s="2"/>
      <c r="AL34" s="17" t="s">
        <v>31</v>
      </c>
      <c r="AM34" s="17"/>
      <c r="AN34" s="17"/>
      <c r="AO34" s="17"/>
      <c r="AP34" s="17"/>
      <c r="AQ34" s="17"/>
      <c r="AR34" s="17"/>
      <c r="AS34" s="17"/>
      <c r="AT34" s="17"/>
      <c r="AU34" s="16"/>
      <c r="AV34" s="106" t="str">
        <f>IF(入力ｼｰﾄ!H12="","－",入力ｼｰﾄ!H12&amp;" 以上 ")</f>
        <v>－</v>
      </c>
      <c r="AW34" s="68"/>
      <c r="AX34" s="68"/>
      <c r="AY34" s="70"/>
      <c r="AZ34" s="68"/>
      <c r="BA34" s="68"/>
      <c r="BB34" s="68"/>
      <c r="BC34" s="68"/>
      <c r="BD34" s="68"/>
      <c r="BE34" s="68"/>
      <c r="BF34" s="68"/>
    </row>
    <row r="35" spans="1:58" ht="18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6"/>
      <c r="S35" s="11" t="s">
        <v>32</v>
      </c>
      <c r="T35" s="32" t="s">
        <v>33</v>
      </c>
      <c r="U35" s="15"/>
      <c r="V35" s="16"/>
      <c r="W35" s="68" t="str">
        <f>IF(入力ｼｰﾄ!K9="","－",入力ｼｰﾄ!K9)</f>
        <v>X μｍ以内</v>
      </c>
      <c r="X35" s="33"/>
      <c r="Y35" s="33"/>
      <c r="Z35" s="33"/>
      <c r="AA35" s="73" t="s">
        <v>34</v>
      </c>
      <c r="AB35" s="33" t="s">
        <v>35</v>
      </c>
      <c r="AC35" s="33"/>
      <c r="AD35" s="33"/>
      <c r="AE35" s="68" t="str">
        <f>IF(入力ｼｰﾄ!K14="","－",入力ｼｰﾄ!K14)</f>
        <v xml:space="preserve"> 0 ±  5μｍ</v>
      </c>
      <c r="AF35" s="33"/>
      <c r="AG35" s="33"/>
      <c r="AH35" s="17"/>
      <c r="AI35" s="2"/>
      <c r="AJ35" s="2"/>
      <c r="AK35" s="2"/>
      <c r="AL35" s="17" t="s">
        <v>36</v>
      </c>
      <c r="AM35" s="15"/>
      <c r="AN35" s="15"/>
      <c r="AO35" s="15"/>
      <c r="AP35" s="15"/>
      <c r="AQ35" s="15"/>
      <c r="AR35" s="15"/>
      <c r="AS35" s="15"/>
      <c r="AT35" s="15"/>
      <c r="AU35" s="16"/>
      <c r="AV35" s="106" t="str">
        <f>IF(入力ｼｰﾄ!H14="","－",入力ｼｰﾄ!H14)</f>
        <v>－</v>
      </c>
      <c r="AW35" s="68"/>
      <c r="AX35" s="68"/>
      <c r="AY35" s="68"/>
      <c r="AZ35" s="68"/>
      <c r="BA35" s="68"/>
      <c r="BB35" s="68"/>
      <c r="BC35" s="68"/>
      <c r="BD35" s="68"/>
      <c r="BE35" s="68"/>
      <c r="BF35" s="68"/>
    </row>
    <row r="36" spans="1:58" ht="18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6"/>
      <c r="S36" s="11" t="s">
        <v>37</v>
      </c>
      <c r="T36" s="34" t="s">
        <v>38</v>
      </c>
      <c r="U36" s="15"/>
      <c r="V36" s="16"/>
      <c r="W36" s="171" t="str">
        <f>IF(入力ｼｰﾄ!K10="","－",入力ｼｰﾄ!K10)</f>
        <v>XX ～ XXμｍ</v>
      </c>
      <c r="X36" s="33"/>
      <c r="Y36" s="33"/>
      <c r="Z36" s="33"/>
      <c r="AA36" s="73" t="s">
        <v>39</v>
      </c>
      <c r="AB36" s="33" t="s">
        <v>40</v>
      </c>
      <c r="AC36" s="33"/>
      <c r="AD36" s="33"/>
      <c r="AE36" s="68" t="str">
        <f>IF(入力ｼｰﾄ!K15="","－",入力ｼｰﾄ!K15)</f>
        <v>XX μｍ以内</v>
      </c>
      <c r="AF36" s="33"/>
      <c r="AG36" s="33"/>
      <c r="AH36" s="17"/>
      <c r="AI36" s="2"/>
      <c r="AJ36" s="2"/>
      <c r="AK36" s="2"/>
      <c r="AL36" s="15" t="s">
        <v>41</v>
      </c>
      <c r="AM36" s="15"/>
      <c r="AN36" s="15"/>
      <c r="AO36" s="15"/>
      <c r="AP36" s="15"/>
      <c r="AQ36" s="15"/>
      <c r="AR36" s="15"/>
      <c r="AS36" s="15"/>
      <c r="AT36" s="15"/>
      <c r="AU36" s="16"/>
      <c r="AV36" s="106">
        <f>IF(入力ｼｰﾄ!H15="","－",入力ｼｰﾄ!H15)</f>
        <v>41</v>
      </c>
      <c r="AW36" s="68"/>
      <c r="AX36" s="68"/>
      <c r="AY36" s="70"/>
      <c r="AZ36" s="68"/>
      <c r="BA36" s="68"/>
      <c r="BB36" s="68"/>
      <c r="BC36" s="68"/>
      <c r="BD36" s="68"/>
      <c r="BE36" s="68"/>
      <c r="BF36" s="68"/>
    </row>
    <row r="37" spans="1:58" ht="18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6"/>
      <c r="S37" s="11" t="s">
        <v>42</v>
      </c>
      <c r="T37" s="34" t="s">
        <v>43</v>
      </c>
      <c r="U37" s="31"/>
      <c r="V37" s="16"/>
      <c r="W37" s="32" t="str">
        <f>IF(入力ｼｰﾄ!K11="","－",入力ｼｰﾄ!K11)</f>
        <v>XX mm以下</v>
      </c>
      <c r="X37" s="33"/>
      <c r="Y37" s="33"/>
      <c r="Z37" s="33"/>
      <c r="AA37" s="73" t="s">
        <v>44</v>
      </c>
      <c r="AB37" s="99" t="s">
        <v>45</v>
      </c>
      <c r="AC37" s="12"/>
      <c r="AD37" s="12"/>
      <c r="AE37" s="68" t="str">
        <f>IF(入力ｼｰﾄ!K16="","－",入力ｼｰﾄ!K16)</f>
        <v>35 μｍ以内</v>
      </c>
      <c r="AF37" s="33"/>
      <c r="AG37" s="33"/>
      <c r="AH37" s="17"/>
      <c r="AI37" s="2"/>
      <c r="AJ37" s="2"/>
      <c r="AK37" s="2"/>
      <c r="AL37" s="15" t="s">
        <v>46</v>
      </c>
      <c r="AM37" s="15"/>
      <c r="AN37" s="15"/>
      <c r="AO37" s="15"/>
      <c r="AP37" s="15"/>
      <c r="AQ37" s="15"/>
      <c r="AR37" s="15"/>
      <c r="AS37" s="15"/>
      <c r="AT37" s="15"/>
      <c r="AU37" s="16"/>
      <c r="AV37" s="106" t="str">
        <f>IF(入力ｼｰﾄ!H17="","－",入力ｼｰﾄ!H17&amp;"≧")</f>
        <v>0.04≧</v>
      </c>
      <c r="AW37" s="68"/>
      <c r="AX37" s="68"/>
      <c r="AY37" s="70"/>
      <c r="AZ37" s="68"/>
      <c r="BA37" s="68"/>
      <c r="BB37" s="68"/>
      <c r="BC37" s="68"/>
      <c r="BD37" s="68"/>
      <c r="BE37" s="68"/>
      <c r="BF37" s="68"/>
    </row>
    <row r="38" spans="1:58" ht="18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M38" s="2" t="s">
        <v>47</v>
      </c>
      <c r="AN38" s="15"/>
      <c r="AO38" s="15"/>
      <c r="AP38" s="15"/>
      <c r="AQ38" s="15"/>
      <c r="AR38" s="15"/>
      <c r="AS38" s="15"/>
      <c r="AT38" s="15"/>
      <c r="AU38" s="16"/>
      <c r="AV38" s="319">
        <f>IF(入力ｼｰﾄ!H18="","－",入力ｼｰﾄ!H18)</f>
        <v>3</v>
      </c>
      <c r="AW38" s="320"/>
      <c r="AX38" s="320"/>
      <c r="AY38" s="321"/>
      <c r="AZ38" s="321"/>
      <c r="BA38" s="320"/>
      <c r="BB38" s="320"/>
      <c r="BC38" s="320"/>
      <c r="BD38" s="320"/>
      <c r="BE38" s="320"/>
      <c r="BF38" s="320"/>
    </row>
    <row r="39" spans="1:58" ht="21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</row>
    <row r="40" spans="1:58" ht="18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</row>
    <row r="41" spans="1:58" ht="15.75" customHeight="1">
      <c r="A41" s="2"/>
      <c r="B41" s="2"/>
      <c r="C41" s="19"/>
      <c r="D41" s="312" t="s">
        <v>226</v>
      </c>
      <c r="E41" s="19"/>
      <c r="F41" s="19"/>
      <c r="G41" s="19"/>
      <c r="H41" s="19"/>
      <c r="I41" s="19"/>
      <c r="J41" s="19"/>
      <c r="K41" s="19"/>
      <c r="L41" s="19"/>
      <c r="M41" s="19"/>
      <c r="N41" s="345" t="s">
        <v>185</v>
      </c>
      <c r="O41" s="345"/>
      <c r="P41" s="345"/>
      <c r="Q41" s="345"/>
      <c r="R41" s="345"/>
      <c r="S41" s="345"/>
      <c r="T41" s="347" t="e">
        <f>ROUNDUP((T52/J48)*60+(R48+X48+AB48),0)</f>
        <v>#DIV/0!</v>
      </c>
      <c r="U41" s="347"/>
      <c r="V41" s="347"/>
      <c r="W41" s="302"/>
      <c r="X41" s="19"/>
      <c r="Y41" s="19"/>
      <c r="Z41" s="19"/>
      <c r="AA41" s="19"/>
      <c r="AB41" s="19"/>
      <c r="AC41" s="19"/>
      <c r="AD41" s="19"/>
      <c r="AE41" s="19"/>
      <c r="AF41" s="19"/>
      <c r="AG41" s="5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</row>
    <row r="42" spans="1:58" ht="6.75" customHeight="1">
      <c r="A42" s="2"/>
      <c r="B42" s="2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</row>
    <row r="43" spans="1:58" ht="18.75" customHeight="1">
      <c r="A43" s="2"/>
      <c r="B43" s="2"/>
      <c r="C43" s="19"/>
      <c r="D43" s="19"/>
      <c r="E43" s="19"/>
      <c r="F43" s="348" t="s">
        <v>186</v>
      </c>
      <c r="G43" s="348"/>
      <c r="H43" s="348"/>
      <c r="I43" s="348"/>
      <c r="J43" s="348"/>
      <c r="K43" s="348"/>
      <c r="L43" s="348"/>
      <c r="M43" s="348"/>
      <c r="N43" s="348"/>
      <c r="O43" s="300"/>
      <c r="P43" s="346" t="s">
        <v>187</v>
      </c>
      <c r="Q43" s="346"/>
      <c r="R43" s="346"/>
      <c r="S43" s="346"/>
      <c r="T43" s="346"/>
      <c r="U43" s="346"/>
      <c r="V43" s="346"/>
      <c r="W43" s="296"/>
      <c r="X43" s="304"/>
      <c r="Y43" s="304"/>
      <c r="Z43" s="346" t="s">
        <v>188</v>
      </c>
      <c r="AA43" s="346"/>
      <c r="AB43" s="346"/>
      <c r="AC43" s="346"/>
      <c r="AD43" s="346"/>
      <c r="AE43" s="346"/>
      <c r="AF43" s="346"/>
      <c r="AG43" s="296"/>
      <c r="AH43" s="30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</row>
    <row r="44" spans="1:58" ht="13.5" customHeight="1">
      <c r="A44" s="2"/>
      <c r="B44" s="2"/>
      <c r="C44" s="19"/>
      <c r="D44" s="19"/>
      <c r="E44" s="19"/>
      <c r="F44" s="346" t="s">
        <v>224</v>
      </c>
      <c r="G44" s="346"/>
      <c r="H44" s="346"/>
      <c r="I44" s="346"/>
      <c r="J44" s="346"/>
      <c r="K44" s="346"/>
      <c r="L44" s="346"/>
      <c r="M44" s="346"/>
      <c r="N44" s="346"/>
      <c r="O44" s="296"/>
      <c r="P44" s="346" t="s">
        <v>181</v>
      </c>
      <c r="Q44" s="346"/>
      <c r="R44" s="346"/>
      <c r="S44" s="346"/>
      <c r="T44" s="346"/>
      <c r="U44" s="346"/>
      <c r="V44" s="346"/>
      <c r="W44" s="346"/>
      <c r="X44" s="346"/>
      <c r="Y44" s="346"/>
      <c r="Z44" s="346"/>
      <c r="AA44" s="346"/>
      <c r="AB44" s="346"/>
      <c r="AC44" s="346"/>
      <c r="AD44" s="346"/>
      <c r="AE44" s="346"/>
      <c r="AF44" s="346"/>
      <c r="AG44" s="296"/>
      <c r="AH44" s="30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</row>
    <row r="45" spans="1:58" ht="21.95" customHeight="1">
      <c r="A45" s="2"/>
      <c r="B45" s="2"/>
      <c r="C45" s="296" t="s">
        <v>182</v>
      </c>
      <c r="D45" s="297"/>
      <c r="E45" s="297"/>
      <c r="F45" s="295">
        <v>5.0000000000000001E-4</v>
      </c>
      <c r="G45" s="295"/>
      <c r="H45" s="295">
        <v>7.5000000000000002E-4</v>
      </c>
      <c r="I45" s="295"/>
      <c r="J45" s="295">
        <v>1E-3</v>
      </c>
      <c r="K45" s="295"/>
      <c r="L45" s="295">
        <v>1.25E-3</v>
      </c>
      <c r="M45" s="295"/>
      <c r="N45" s="295">
        <v>1.5E-3</v>
      </c>
      <c r="O45" s="295"/>
      <c r="P45" s="295">
        <f>R45*0.5</f>
        <v>15</v>
      </c>
      <c r="Q45" s="295"/>
      <c r="R45" s="295">
        <f>IF(入力ｼｰﾄ!N8="",30,入力ｼｰﾄ!N8)</f>
        <v>30</v>
      </c>
      <c r="S45" s="295"/>
      <c r="T45" s="295">
        <f>R45*1.5</f>
        <v>45</v>
      </c>
      <c r="U45" s="295"/>
      <c r="V45" s="295">
        <f>R45*2</f>
        <v>60</v>
      </c>
      <c r="W45" s="295"/>
      <c r="X45" s="295">
        <f>R45</f>
        <v>30</v>
      </c>
      <c r="Y45" s="295"/>
      <c r="Z45" s="295">
        <f>R45</f>
        <v>30</v>
      </c>
      <c r="AA45" s="295"/>
      <c r="AB45" s="295">
        <f>R45*2</f>
        <v>60</v>
      </c>
      <c r="AC45" s="295"/>
      <c r="AD45" s="295">
        <f>R45*3</f>
        <v>90</v>
      </c>
      <c r="AE45" s="295"/>
      <c r="AF45" s="295">
        <f>R45*4</f>
        <v>120</v>
      </c>
      <c r="AG45" s="34"/>
      <c r="AH45" s="301"/>
      <c r="AI45" s="2"/>
      <c r="AJ45" s="14"/>
      <c r="AK45" s="14"/>
      <c r="AL45" s="14"/>
      <c r="AM45" s="14"/>
      <c r="AN45" s="17"/>
      <c r="AO45" s="16"/>
      <c r="AP45" s="15"/>
      <c r="AQ45" s="15"/>
      <c r="AR45" s="107"/>
      <c r="AS45" s="16"/>
      <c r="AT45" s="18"/>
      <c r="AU45" s="8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</row>
    <row r="46" spans="1:58" ht="18" customHeight="1">
      <c r="A46" s="2"/>
      <c r="B46" s="2"/>
      <c r="C46" s="296">
        <f>IF(入力ｼｰﾄ!$N$12="",150,入力ｼｰﾄ!$N$12+20)</f>
        <v>150</v>
      </c>
      <c r="D46" s="298" t="e">
        <f>ROUNDUP(工作図!C46*1000/計算結果!$C$11/PI()/計算結果!$C$19,)</f>
        <v>#DIV/0!</v>
      </c>
      <c r="E46" s="298"/>
      <c r="F46" s="299" t="e">
        <f>ROUNDUP(計算結果!$C$19*工作図!$D46*工作図!F$45,2)</f>
        <v>#DIV/0!</v>
      </c>
      <c r="G46" s="299"/>
      <c r="H46" s="299" t="e">
        <f>ROUNDUP(計算結果!$C$19*工作図!$D46*工作図!H$45,2)</f>
        <v>#DIV/0!</v>
      </c>
      <c r="I46" s="299"/>
      <c r="J46" s="299" t="e">
        <f>ROUNDUP(計算結果!$C$19*工作図!$D46*工作図!J$45,2)</f>
        <v>#DIV/0!</v>
      </c>
      <c r="K46" s="299"/>
      <c r="L46" s="299" t="e">
        <f>ROUNDUP(計算結果!$C$19*工作図!$D46*工作図!L$45,2)</f>
        <v>#DIV/0!</v>
      </c>
      <c r="M46" s="299"/>
      <c r="N46" s="299" t="e">
        <f>ROUNDUP(計算結果!$C$19*工作図!$D46*工作図!N$45,2)</f>
        <v>#DIV/0!</v>
      </c>
      <c r="O46" s="299"/>
      <c r="P46" s="298" t="e">
        <f>ROUNDUP(P$45*60*計算結果!$C$8/工作図!$D46/計算結果!$C$9,)</f>
        <v>#DIV/0!</v>
      </c>
      <c r="Q46" s="298"/>
      <c r="R46" s="298" t="e">
        <f>ROUNDUP(R$45*60*計算結果!$C$8/工作図!$D46/計算結果!$C$9,)</f>
        <v>#DIV/0!</v>
      </c>
      <c r="S46" s="298"/>
      <c r="T46" s="298" t="e">
        <f>ROUNDUP(T$45*60*計算結果!$C$8/工作図!$D46/計算結果!$C$9,)</f>
        <v>#DIV/0!</v>
      </c>
      <c r="U46" s="298"/>
      <c r="V46" s="298" t="e">
        <f>ROUNDUP(V$45*60*計算結果!$C$8/工作図!$D46/計算結果!$C$9,)</f>
        <v>#DIV/0!</v>
      </c>
      <c r="W46" s="298"/>
      <c r="X46" s="298" t="e">
        <f>ROUNDUP(X$45*60*計算結果!$C$8/工作図!$D46/計算結果!$C$9,)</f>
        <v>#DIV/0!</v>
      </c>
      <c r="Y46" s="298"/>
      <c r="Z46" s="298" t="e">
        <f>ROUNDUP(Z$45*60*計算結果!$C$8/工作図!$D46/計算結果!$C$9,)</f>
        <v>#DIV/0!</v>
      </c>
      <c r="AA46" s="298"/>
      <c r="AB46" s="298" t="e">
        <f>ROUNDUP(AB$45*60*計算結果!$C$8/工作図!$D46/計算結果!$C$9,)</f>
        <v>#DIV/0!</v>
      </c>
      <c r="AC46" s="298"/>
      <c r="AD46" s="298" t="e">
        <f>ROUNDUP(AD$45*60*計算結果!$C$8/工作図!$D46/計算結果!$C$9,)</f>
        <v>#DIV/0!</v>
      </c>
      <c r="AE46" s="298"/>
      <c r="AF46" s="298" t="e">
        <f>ROUNDUP(AF$45*60*計算結果!$C$8/工作図!$D46/計算結果!$C$9,)</f>
        <v>#DIV/0!</v>
      </c>
      <c r="AG46" s="294"/>
      <c r="AH46" s="301"/>
      <c r="AI46" s="2"/>
      <c r="AJ46" s="14"/>
      <c r="AK46" s="14"/>
      <c r="AL46" s="14"/>
      <c r="AM46" s="14"/>
      <c r="AN46" s="86"/>
      <c r="AO46" s="15"/>
      <c r="AP46" s="15"/>
      <c r="AQ46" s="15"/>
      <c r="AR46" s="107"/>
      <c r="AS46" s="16"/>
      <c r="AT46" s="18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</row>
    <row r="47" spans="1:58" ht="18" customHeight="1">
      <c r="A47" s="2"/>
      <c r="B47" s="2"/>
      <c r="C47" s="296">
        <f>IF(入力ｼｰﾄ!$N$12="",140,入力ｼｰﾄ!$N$12+10)</f>
        <v>140</v>
      </c>
      <c r="D47" s="298" t="e">
        <f>ROUNDUP(工作図!C47*1000/計算結果!$C$11/PI()/計算結果!$C$19,)</f>
        <v>#DIV/0!</v>
      </c>
      <c r="E47" s="298"/>
      <c r="F47" s="299" t="e">
        <f>ROUNDUP(計算結果!$C$19*工作図!$D47*工作図!F$45,2)</f>
        <v>#DIV/0!</v>
      </c>
      <c r="G47" s="299"/>
      <c r="H47" s="299" t="e">
        <f>ROUNDUP(計算結果!$C$19*工作図!$D47*工作図!H$45,2)</f>
        <v>#DIV/0!</v>
      </c>
      <c r="I47" s="299"/>
      <c r="J47" s="299" t="e">
        <f>ROUNDUP(計算結果!$C$19*工作図!$D47*工作図!J$45,2)</f>
        <v>#DIV/0!</v>
      </c>
      <c r="K47" s="299"/>
      <c r="L47" s="299" t="e">
        <f>ROUNDUP(計算結果!$C$19*工作図!$D47*工作図!L$45,2)</f>
        <v>#DIV/0!</v>
      </c>
      <c r="M47" s="299"/>
      <c r="N47" s="299" t="e">
        <f>ROUNDUP(計算結果!$C$19*工作図!$D47*工作図!N$45,2)</f>
        <v>#DIV/0!</v>
      </c>
      <c r="O47" s="299"/>
      <c r="P47" s="298" t="e">
        <f>ROUNDUP(P$45*60*計算結果!$C$8/工作図!$D47/計算結果!$C$9,)</f>
        <v>#DIV/0!</v>
      </c>
      <c r="Q47" s="298"/>
      <c r="R47" s="298" t="e">
        <f>ROUNDUP(R$45*60*計算結果!$C$8/工作図!$D47/計算結果!$C$9,)</f>
        <v>#DIV/0!</v>
      </c>
      <c r="S47" s="298"/>
      <c r="T47" s="298" t="e">
        <f>ROUNDUP(T$45*60*計算結果!$C$8/工作図!$D47/計算結果!$C$9,)</f>
        <v>#DIV/0!</v>
      </c>
      <c r="U47" s="298"/>
      <c r="V47" s="298" t="e">
        <f>ROUNDUP(V$45*60*計算結果!$C$8/工作図!$D47/計算結果!$C$9,)</f>
        <v>#DIV/0!</v>
      </c>
      <c r="W47" s="298"/>
      <c r="X47" s="298" t="e">
        <f>ROUNDUP(X$45*60*計算結果!$C$8/工作図!$D47/計算結果!$C$9,)</f>
        <v>#DIV/0!</v>
      </c>
      <c r="Y47" s="298"/>
      <c r="Z47" s="298" t="e">
        <f>ROUNDUP(Z$45*60*計算結果!$C$8/工作図!$D47/計算結果!$C$9,)</f>
        <v>#DIV/0!</v>
      </c>
      <c r="AA47" s="298"/>
      <c r="AB47" s="298" t="e">
        <f>ROUNDUP(AB$45*60*計算結果!$C$8/工作図!$D47/計算結果!$C$9,)</f>
        <v>#DIV/0!</v>
      </c>
      <c r="AC47" s="298"/>
      <c r="AD47" s="298" t="e">
        <f>ROUNDUP(AD$45*60*計算結果!$C$8/工作図!$D47/計算結果!$C$9,)</f>
        <v>#DIV/0!</v>
      </c>
      <c r="AE47" s="298"/>
      <c r="AF47" s="298" t="e">
        <f>ROUNDUP(AF$45*60*計算結果!$C$8/工作図!$D47/計算結果!$C$9,)</f>
        <v>#DIV/0!</v>
      </c>
      <c r="AG47" s="34"/>
      <c r="AH47" s="301"/>
      <c r="AI47" s="2"/>
      <c r="AJ47" s="16"/>
      <c r="AK47" s="14"/>
      <c r="AL47" s="14"/>
      <c r="AM47" s="14"/>
      <c r="AN47" s="18"/>
      <c r="AO47" s="16"/>
      <c r="AP47" s="15"/>
      <c r="AQ47" s="15"/>
      <c r="AR47" s="107"/>
      <c r="AS47" s="16"/>
      <c r="AT47" s="18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1:58" ht="18" customHeight="1">
      <c r="A48" s="2"/>
      <c r="B48" s="2"/>
      <c r="C48" s="296">
        <f>IF(入力ｼｰﾄ!$N$12="",130,入力ｼｰﾄ!$N$12)</f>
        <v>130</v>
      </c>
      <c r="D48" s="309" t="e">
        <f>ROUNDUP(工作図!C48*1000/計算結果!$C$11/PI()/計算結果!$C$19,)</f>
        <v>#DIV/0!</v>
      </c>
      <c r="E48" s="310"/>
      <c r="F48" s="299" t="e">
        <f>ROUNDUP(計算結果!$C$19*工作図!$D48*工作図!F$45,2)</f>
        <v>#DIV/0!</v>
      </c>
      <c r="G48" s="299"/>
      <c r="H48" s="299" t="e">
        <f>ROUNDUP(計算結果!$C$19*工作図!$D48*工作図!H$45,2)</f>
        <v>#DIV/0!</v>
      </c>
      <c r="I48" s="299"/>
      <c r="J48" s="307" t="e">
        <f>ROUNDUP(計算結果!$C$19*工作図!$D48*工作図!J$45,2)</f>
        <v>#DIV/0!</v>
      </c>
      <c r="K48" s="308"/>
      <c r="L48" s="299" t="e">
        <f>ROUNDUP(計算結果!$C$19*工作図!$D48*工作図!L$45,2)</f>
        <v>#DIV/0!</v>
      </c>
      <c r="M48" s="299"/>
      <c r="N48" s="299" t="e">
        <f>ROUNDUP(計算結果!$C$19*工作図!$D48*工作図!N$45,2)</f>
        <v>#DIV/0!</v>
      </c>
      <c r="O48" s="299"/>
      <c r="P48" s="298" t="e">
        <f>ROUNDUP(P$45*60*計算結果!$C$8/工作図!$D48/計算結果!$C$9,)</f>
        <v>#DIV/0!</v>
      </c>
      <c r="Q48" s="298"/>
      <c r="R48" s="309" t="e">
        <f>ROUNDUP(R$45*60*計算結果!$C$8/工作図!$D48/計算結果!$C$9,)</f>
        <v>#DIV/0!</v>
      </c>
      <c r="S48" s="310"/>
      <c r="T48" s="298" t="e">
        <f>ROUNDUP(T$45*60*計算結果!$C$8/工作図!$D48/計算結果!$C$9,)</f>
        <v>#DIV/0!</v>
      </c>
      <c r="U48" s="298"/>
      <c r="V48" s="298" t="e">
        <f>ROUNDUP(V$45*60*計算結果!$C$8/工作図!$D48/計算結果!$C$9,)</f>
        <v>#DIV/0!</v>
      </c>
      <c r="W48" s="298"/>
      <c r="X48" s="309" t="e">
        <f>ROUNDUP(X$45*60*計算結果!$C$8/工作図!$D48/計算結果!$C$9,)</f>
        <v>#DIV/0!</v>
      </c>
      <c r="Y48" s="310"/>
      <c r="Z48" s="298" t="e">
        <f>ROUNDUP(Z$45*60*計算結果!$C$8/工作図!$D48/計算結果!$C$9,)</f>
        <v>#DIV/0!</v>
      </c>
      <c r="AA48" s="298"/>
      <c r="AB48" s="309" t="e">
        <f>ROUNDUP(AB$45*60*計算結果!$C$8/工作図!$D48/計算結果!$C$9,)</f>
        <v>#DIV/0!</v>
      </c>
      <c r="AC48" s="310"/>
      <c r="AD48" s="298" t="e">
        <f>ROUNDUP(AD$45*60*計算結果!$C$8/工作図!$D48/計算結果!$C$9,)</f>
        <v>#DIV/0!</v>
      </c>
      <c r="AE48" s="298"/>
      <c r="AF48" s="298" t="e">
        <f>ROUNDUP(AF$45*60*計算結果!$C$8/工作図!$D48/計算結果!$C$9,)</f>
        <v>#DIV/0!</v>
      </c>
      <c r="AG48" s="294"/>
      <c r="AH48" s="301"/>
      <c r="AI48" s="2"/>
      <c r="AJ48" s="14"/>
      <c r="AK48" s="14"/>
      <c r="AL48" s="14"/>
      <c r="AM48" s="14"/>
      <c r="AN48" s="86"/>
      <c r="AO48" s="15"/>
      <c r="AP48" s="15"/>
      <c r="AQ48" s="15"/>
      <c r="AR48" s="107"/>
      <c r="AS48" s="16"/>
      <c r="AT48" s="18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1:58" ht="18" customHeight="1">
      <c r="A49" s="2"/>
      <c r="B49" s="2"/>
      <c r="C49" s="296">
        <f>IF(入力ｼｰﾄ!$N$12="",120,入力ｼｰﾄ!$N$12-10)</f>
        <v>120</v>
      </c>
      <c r="D49" s="298" t="e">
        <f>ROUNDUP(工作図!C49*1000/計算結果!$C$11/PI()/計算結果!$C$19,)</f>
        <v>#DIV/0!</v>
      </c>
      <c r="E49" s="298"/>
      <c r="F49" s="299" t="e">
        <f>ROUNDUP(計算結果!$C$19*工作図!$D49*工作図!F$45,2)</f>
        <v>#DIV/0!</v>
      </c>
      <c r="G49" s="299"/>
      <c r="H49" s="299" t="e">
        <f>ROUNDUP(計算結果!$C$19*工作図!$D49*工作図!H$45,2)</f>
        <v>#DIV/0!</v>
      </c>
      <c r="I49" s="299"/>
      <c r="J49" s="299" t="e">
        <f>ROUNDUP(計算結果!$C$19*工作図!$D49*工作図!J$45,2)</f>
        <v>#DIV/0!</v>
      </c>
      <c r="K49" s="299"/>
      <c r="L49" s="299" t="e">
        <f>ROUNDUP(計算結果!$C$19*工作図!$D49*工作図!L$45,2)</f>
        <v>#DIV/0!</v>
      </c>
      <c r="M49" s="299"/>
      <c r="N49" s="299" t="e">
        <f>ROUNDUP(計算結果!$C$19*工作図!$D49*工作図!N$45,2)</f>
        <v>#DIV/0!</v>
      </c>
      <c r="O49" s="299"/>
      <c r="P49" s="298" t="e">
        <f>ROUNDUP(P$45*60*計算結果!$C$8/工作図!$D49/計算結果!$C$9,)</f>
        <v>#DIV/0!</v>
      </c>
      <c r="Q49" s="298"/>
      <c r="R49" s="298" t="e">
        <f>ROUNDUP(R$45*60*計算結果!$C$8/工作図!$D49/計算結果!$C$9,)</f>
        <v>#DIV/0!</v>
      </c>
      <c r="S49" s="298"/>
      <c r="T49" s="298" t="e">
        <f>ROUNDUP(T$45*60*計算結果!$C$8/工作図!$D49/計算結果!$C$9,)</f>
        <v>#DIV/0!</v>
      </c>
      <c r="U49" s="298"/>
      <c r="V49" s="298" t="e">
        <f>ROUNDUP(V$45*60*計算結果!$C$8/工作図!$D49/計算結果!$C$9,)</f>
        <v>#DIV/0!</v>
      </c>
      <c r="W49" s="298"/>
      <c r="X49" s="298" t="e">
        <f>ROUNDUP(X$45*60*計算結果!$C$8/工作図!$D49/計算結果!$C$9,)</f>
        <v>#DIV/0!</v>
      </c>
      <c r="Y49" s="298"/>
      <c r="Z49" s="298" t="e">
        <f>ROUNDUP(Z$45*60*計算結果!$C$8/工作図!$D49/計算結果!$C$9,)</f>
        <v>#DIV/0!</v>
      </c>
      <c r="AA49" s="298"/>
      <c r="AB49" s="298" t="e">
        <f>ROUNDUP(AB$45*60*計算結果!$C$8/工作図!$D49/計算結果!$C$9,)</f>
        <v>#DIV/0!</v>
      </c>
      <c r="AC49" s="298"/>
      <c r="AD49" s="298" t="e">
        <f>ROUNDUP(AD$45*60*計算結果!$C$8/工作図!$D49/計算結果!$C$9,)</f>
        <v>#DIV/0!</v>
      </c>
      <c r="AE49" s="298"/>
      <c r="AF49" s="298" t="e">
        <f>ROUNDUP(AF$45*60*計算結果!$C$8/工作図!$D49/計算結果!$C$9,)</f>
        <v>#DIV/0!</v>
      </c>
      <c r="AG49" s="34"/>
      <c r="AH49" s="301"/>
      <c r="AI49" s="2"/>
      <c r="AJ49" s="14"/>
      <c r="AK49" s="14"/>
      <c r="AL49" s="14"/>
      <c r="AM49" s="14"/>
      <c r="AN49" s="86"/>
      <c r="AO49" s="16"/>
      <c r="AP49" s="15"/>
      <c r="AQ49" s="15"/>
      <c r="AR49" s="107"/>
      <c r="AS49" s="16"/>
      <c r="AT49" s="18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1:58" ht="18" customHeight="1">
      <c r="A50" s="2"/>
      <c r="B50" s="2"/>
      <c r="C50" s="296">
        <f>IF(入力ｼｰﾄ!$N$12="",110,入力ｼｰﾄ!$N$12-20)</f>
        <v>110</v>
      </c>
      <c r="D50" s="298" t="e">
        <f>ROUNDUP(工作図!C50*1000/計算結果!$C$11/PI()/計算結果!$C$19,)</f>
        <v>#DIV/0!</v>
      </c>
      <c r="E50" s="298"/>
      <c r="F50" s="299" t="e">
        <f>ROUNDUP(計算結果!$C$19*工作図!$D50*工作図!F$45,2)</f>
        <v>#DIV/0!</v>
      </c>
      <c r="G50" s="299"/>
      <c r="H50" s="299" t="e">
        <f>ROUNDUP(計算結果!$C$19*工作図!$D50*工作図!H$45,2)</f>
        <v>#DIV/0!</v>
      </c>
      <c r="I50" s="299"/>
      <c r="J50" s="299" t="e">
        <f>ROUNDUP(計算結果!$C$19*工作図!$D50*工作図!J$45,2)</f>
        <v>#DIV/0!</v>
      </c>
      <c r="K50" s="299"/>
      <c r="L50" s="299" t="e">
        <f>ROUNDUP(計算結果!$C$19*工作図!$D50*工作図!L$45,2)</f>
        <v>#DIV/0!</v>
      </c>
      <c r="M50" s="299"/>
      <c r="N50" s="299" t="e">
        <f>ROUNDUP(計算結果!$C$19*工作図!$D50*工作図!N$45,2)</f>
        <v>#DIV/0!</v>
      </c>
      <c r="O50" s="299"/>
      <c r="P50" s="298" t="e">
        <f>ROUNDUP(P$45*60*計算結果!$C$8/工作図!$D50/計算結果!$C$9,)</f>
        <v>#DIV/0!</v>
      </c>
      <c r="Q50" s="298"/>
      <c r="R50" s="298" t="e">
        <f>ROUNDUP(R$45*60*計算結果!$C$8/工作図!$D50/計算結果!$C$9,)</f>
        <v>#DIV/0!</v>
      </c>
      <c r="S50" s="298"/>
      <c r="T50" s="298" t="e">
        <f>ROUNDUP(T$45*60*計算結果!$C$8/工作図!$D50/計算結果!$C$9,)</f>
        <v>#DIV/0!</v>
      </c>
      <c r="U50" s="298"/>
      <c r="V50" s="298" t="e">
        <f>ROUNDUP(V$45*60*計算結果!$C$8/工作図!$D50/計算結果!$C$9,)</f>
        <v>#DIV/0!</v>
      </c>
      <c r="W50" s="298"/>
      <c r="X50" s="298" t="e">
        <f>ROUNDUP(X$45*60*計算結果!$C$8/工作図!$D50/計算結果!$C$9,)</f>
        <v>#DIV/0!</v>
      </c>
      <c r="Y50" s="298"/>
      <c r="Z50" s="298" t="e">
        <f>ROUNDUP(Z$45*60*計算結果!$C$8/工作図!$D50/計算結果!$C$9,)</f>
        <v>#DIV/0!</v>
      </c>
      <c r="AA50" s="298"/>
      <c r="AB50" s="298" t="e">
        <f>ROUNDUP(AB$45*60*計算結果!$C$8/工作図!$D50/計算結果!$C$9,)</f>
        <v>#DIV/0!</v>
      </c>
      <c r="AC50" s="298"/>
      <c r="AD50" s="298" t="e">
        <f>ROUNDUP(AD$45*60*計算結果!$C$8/工作図!$D50/計算結果!$C$9,)</f>
        <v>#DIV/0!</v>
      </c>
      <c r="AE50" s="298"/>
      <c r="AF50" s="298" t="e">
        <f>ROUNDUP(AF$45*60*計算結果!$C$8/工作図!$D50/計算結果!$C$9,)</f>
        <v>#DIV/0!</v>
      </c>
      <c r="AG50" s="30"/>
      <c r="AH50" s="301"/>
      <c r="AI50" s="2"/>
      <c r="AJ50" s="15"/>
      <c r="AK50" s="15"/>
      <c r="AL50" s="15"/>
      <c r="AM50" s="15"/>
      <c r="AN50" s="18"/>
      <c r="AO50" s="15"/>
      <c r="AP50" s="15"/>
      <c r="AQ50" s="15"/>
      <c r="AR50" s="15"/>
      <c r="AS50" s="15"/>
      <c r="AT50" s="15"/>
      <c r="AU50" s="15"/>
      <c r="AV50" s="15"/>
      <c r="AW50" s="15"/>
      <c r="AX50" s="18"/>
      <c r="AY50" s="15"/>
      <c r="AZ50" s="15"/>
      <c r="BA50" s="15"/>
      <c r="BB50" s="15"/>
      <c r="BC50" s="15"/>
      <c r="BD50" s="15"/>
      <c r="BE50" s="15"/>
      <c r="BF50" s="15"/>
    </row>
    <row r="51" spans="1:58" ht="18" customHeight="1">
      <c r="B51" s="2"/>
      <c r="C51" s="19"/>
      <c r="D51" s="303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313" t="s">
        <v>227</v>
      </c>
      <c r="Q51" s="303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30"/>
      <c r="AH51" s="301"/>
      <c r="AI51" s="2"/>
      <c r="AJ51" s="2"/>
      <c r="AK51" s="2"/>
      <c r="AL51" s="2"/>
      <c r="AM51" s="2"/>
      <c r="AN51" s="9"/>
      <c r="AO51" s="9"/>
      <c r="AP51" s="9"/>
      <c r="AQ51" s="9"/>
      <c r="AR51" s="108"/>
      <c r="AS51" s="9"/>
      <c r="AT51" s="9"/>
      <c r="AU51" s="9"/>
      <c r="AV51" s="9"/>
      <c r="AW51" s="9"/>
      <c r="AX51" s="9"/>
      <c r="AY51" s="9"/>
      <c r="AZ51" s="9"/>
      <c r="BA51" s="9"/>
      <c r="BB51" s="108"/>
      <c r="BC51" s="9"/>
      <c r="BD51" s="9"/>
      <c r="BE51" s="9"/>
      <c r="BF51" s="9"/>
    </row>
    <row r="52" spans="1:58" ht="15.75" customHeight="1">
      <c r="A52" s="2"/>
      <c r="B52" s="2"/>
      <c r="C52" s="294" t="s">
        <v>158</v>
      </c>
      <c r="D52" s="293"/>
      <c r="E52" s="293"/>
      <c r="F52" s="295">
        <v>0.05</v>
      </c>
      <c r="G52" s="295"/>
      <c r="H52" s="295">
        <v>7.0000000000000007E-2</v>
      </c>
      <c r="I52" s="295"/>
      <c r="J52" s="295">
        <v>0.09</v>
      </c>
      <c r="K52" s="295"/>
      <c r="L52" s="295">
        <v>0.11</v>
      </c>
      <c r="M52" s="295"/>
      <c r="N52" s="295">
        <v>0.13</v>
      </c>
      <c r="O52" s="295"/>
      <c r="P52" s="295" t="s">
        <v>189</v>
      </c>
      <c r="Q52" s="295"/>
      <c r="R52" s="295" t="s">
        <v>190</v>
      </c>
      <c r="S52" s="295"/>
      <c r="T52" s="299">
        <f>計算結果!C24</f>
        <v>0.15000000000000002</v>
      </c>
      <c r="U52" s="299"/>
      <c r="V52" s="295" t="s">
        <v>191</v>
      </c>
      <c r="W52" s="295"/>
      <c r="X52" s="295" t="s">
        <v>192</v>
      </c>
      <c r="Y52" s="295"/>
      <c r="Z52" s="299" t="e">
        <f>J48</f>
        <v>#DIV/0!</v>
      </c>
      <c r="AA52" s="299"/>
      <c r="AB52" s="295" t="s">
        <v>193</v>
      </c>
      <c r="AC52" s="295"/>
      <c r="AD52" s="295" t="s">
        <v>194</v>
      </c>
      <c r="AE52" s="295"/>
      <c r="AF52" s="298" t="e">
        <f>X48</f>
        <v>#DIV/0!</v>
      </c>
      <c r="AG52" s="30"/>
      <c r="AH52" s="301"/>
      <c r="AI52" s="2"/>
      <c r="AJ52" s="2"/>
      <c r="AK52" s="2"/>
      <c r="AL52" s="2"/>
      <c r="AM52" s="2"/>
      <c r="AN52" s="9"/>
      <c r="AO52" s="9"/>
      <c r="AP52" s="9"/>
      <c r="AQ52" s="9"/>
      <c r="AR52" s="108"/>
      <c r="AS52" s="9"/>
      <c r="AT52" s="9"/>
      <c r="AU52" s="9"/>
      <c r="AV52" s="9"/>
      <c r="AW52" s="9"/>
      <c r="AX52" s="9"/>
      <c r="AY52" s="9"/>
      <c r="AZ52" s="9"/>
      <c r="BA52" s="9"/>
      <c r="BB52" s="108"/>
      <c r="BC52" s="9"/>
      <c r="BD52" s="9"/>
      <c r="BE52" s="9"/>
      <c r="BF52" s="9"/>
    </row>
    <row r="53" spans="1:58" ht="15.75" customHeight="1">
      <c r="A53" s="2"/>
      <c r="B53" s="2"/>
      <c r="C53" s="294" t="s">
        <v>159</v>
      </c>
      <c r="D53" s="293"/>
      <c r="E53" s="293"/>
      <c r="F53" s="295">
        <f>ROUNDUP(F$52/2/SIN(RADIANS(計算結果!$C$7))+0.04,2)</f>
        <v>0.12</v>
      </c>
      <c r="G53" s="295"/>
      <c r="H53" s="295">
        <f>ROUNDUP(H$52/2/SIN(RADIANS(計算結果!$C$7))+0.04,2)</f>
        <v>0.15000000000000002</v>
      </c>
      <c r="I53" s="295"/>
      <c r="J53" s="295">
        <f>ROUNDUP(J$52/2/SIN(RADIANS(計算結果!$C$7))+0.04,2)</f>
        <v>0.18000000000000002</v>
      </c>
      <c r="K53" s="295"/>
      <c r="L53" s="295">
        <f>ROUNDUP(L$52/2/SIN(RADIANS(計算結果!$C$7))+0.04,2)</f>
        <v>0.21000000000000002</v>
      </c>
      <c r="M53" s="295"/>
      <c r="N53" s="295">
        <f>ROUNDUP(N$52/2/SIN(RADIANS(計算結果!$C$7))+0.04,2)</f>
        <v>0.24000000000000002</v>
      </c>
      <c r="O53" s="295"/>
      <c r="P53" s="295" t="s">
        <v>55</v>
      </c>
      <c r="Q53" s="295"/>
      <c r="R53" s="295" t="s">
        <v>195</v>
      </c>
      <c r="S53" s="295"/>
      <c r="T53" s="298" t="e">
        <f>工作図!D48</f>
        <v>#DIV/0!</v>
      </c>
      <c r="U53" s="298"/>
      <c r="V53" s="295" t="s">
        <v>196</v>
      </c>
      <c r="W53" s="295"/>
      <c r="X53" s="295" t="s">
        <v>197</v>
      </c>
      <c r="Y53" s="295"/>
      <c r="Z53" s="298" t="e">
        <f>工作図!R48</f>
        <v>#DIV/0!</v>
      </c>
      <c r="AA53" s="298"/>
      <c r="AB53" s="295" t="s">
        <v>198</v>
      </c>
      <c r="AC53" s="295"/>
      <c r="AD53" s="295" t="s">
        <v>199</v>
      </c>
      <c r="AE53" s="295"/>
      <c r="AF53" s="298" t="e">
        <f>工作図!AB48</f>
        <v>#DIV/0!</v>
      </c>
      <c r="AG53" s="30"/>
      <c r="AH53" s="301"/>
      <c r="AI53" s="2"/>
      <c r="AJ53" s="2"/>
      <c r="AK53" s="2"/>
      <c r="AL53" s="2"/>
      <c r="AM53" s="2"/>
      <c r="AN53" s="9"/>
      <c r="AO53" s="9"/>
      <c r="AP53" s="9"/>
      <c r="AQ53" s="9"/>
      <c r="AR53" s="108"/>
      <c r="AS53" s="9"/>
      <c r="AT53" s="9"/>
      <c r="AU53" s="9"/>
      <c r="AV53" s="9"/>
      <c r="AW53" s="9"/>
      <c r="AX53" s="9"/>
      <c r="AY53" s="9"/>
      <c r="AZ53" s="9"/>
      <c r="BA53" s="9"/>
      <c r="BB53" s="108"/>
      <c r="BC53" s="9"/>
      <c r="BD53" s="9"/>
      <c r="BE53" s="9"/>
      <c r="BF53" s="9"/>
    </row>
    <row r="54" spans="1:58" ht="59.2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110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9"/>
      <c r="AO54" s="9"/>
      <c r="AP54" s="9"/>
      <c r="AQ54" s="9"/>
      <c r="AR54" s="108"/>
      <c r="AS54" s="9"/>
      <c r="AT54" s="9"/>
      <c r="AU54" s="9"/>
      <c r="AV54" s="9"/>
      <c r="AW54" s="9"/>
      <c r="AX54" s="9"/>
      <c r="AY54" s="9"/>
      <c r="AZ54" s="9"/>
      <c r="BA54" s="9"/>
      <c r="BB54" s="108"/>
      <c r="BC54" s="9"/>
      <c r="BD54" s="9"/>
      <c r="BE54" s="9"/>
      <c r="BF54" s="9"/>
    </row>
    <row r="55" spans="1:58" ht="23.45" customHeight="1">
      <c r="A55" s="2"/>
      <c r="B55" s="2"/>
      <c r="C55" s="18" t="s">
        <v>223</v>
      </c>
      <c r="D55" s="15"/>
      <c r="E55" s="15"/>
      <c r="F55" s="15"/>
      <c r="G55" s="15"/>
      <c r="H55" s="15"/>
      <c r="I55" s="15"/>
      <c r="J55" s="15"/>
      <c r="K55" s="15"/>
      <c r="L55" s="18" t="s">
        <v>51</v>
      </c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8" t="s">
        <v>52</v>
      </c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8" t="s">
        <v>53</v>
      </c>
      <c r="AO55" s="15"/>
      <c r="AP55" s="15"/>
      <c r="AQ55" s="15"/>
      <c r="AR55" s="15"/>
      <c r="AS55" s="15"/>
      <c r="AT55" s="15"/>
      <c r="AU55" s="15"/>
      <c r="AV55" s="15"/>
      <c r="AW55" s="15"/>
      <c r="AX55" s="18" t="s">
        <v>54</v>
      </c>
      <c r="AY55" s="15"/>
      <c r="AZ55" s="15"/>
      <c r="BA55" s="15"/>
      <c r="BB55" s="15"/>
      <c r="BC55" s="15"/>
      <c r="BD55" s="15"/>
      <c r="BE55" s="15"/>
      <c r="BF55" s="15"/>
    </row>
    <row r="56" spans="1:58" ht="21.75" customHeight="1">
      <c r="A56" s="2"/>
      <c r="B56" s="2"/>
      <c r="C56" s="15" t="s">
        <v>55</v>
      </c>
      <c r="D56" s="15"/>
      <c r="E56" s="15"/>
      <c r="F56" s="15"/>
      <c r="G56" s="15"/>
      <c r="H56" s="15"/>
      <c r="I56" s="15"/>
      <c r="J56" s="15"/>
      <c r="K56" s="15"/>
      <c r="L56" s="10" t="s">
        <v>56</v>
      </c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109" t="s">
        <v>57</v>
      </c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9"/>
      <c r="AO56" s="9"/>
      <c r="AP56" s="9"/>
      <c r="AQ56" s="9"/>
      <c r="AR56" s="108" t="s">
        <v>58</v>
      </c>
      <c r="AS56" s="9"/>
      <c r="AT56" s="9"/>
      <c r="AU56" s="9"/>
      <c r="AV56" s="9"/>
      <c r="AW56" s="9"/>
      <c r="AX56" s="9"/>
      <c r="AY56" s="9"/>
      <c r="AZ56" s="9"/>
      <c r="BA56" s="9"/>
      <c r="BB56" s="108" t="s">
        <v>10</v>
      </c>
      <c r="BC56" s="9"/>
      <c r="BD56" s="9"/>
      <c r="BE56" s="9"/>
      <c r="BF56" s="9"/>
    </row>
    <row r="57" spans="1:58" ht="21.75" customHeight="1">
      <c r="A57" s="2"/>
      <c r="B57" s="2"/>
      <c r="C57" s="15" t="s">
        <v>59</v>
      </c>
      <c r="D57" s="15"/>
      <c r="E57" s="15"/>
      <c r="F57" s="15"/>
      <c r="G57" s="15"/>
      <c r="H57" s="15"/>
      <c r="I57" s="15"/>
      <c r="J57" s="15"/>
      <c r="K57" s="15"/>
      <c r="L57" s="10" t="s">
        <v>60</v>
      </c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109" t="s">
        <v>61</v>
      </c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9"/>
      <c r="AO57" s="9"/>
      <c r="AP57" s="9"/>
      <c r="AQ57" s="9"/>
      <c r="AR57" s="108"/>
      <c r="AS57" s="9" t="s">
        <v>11</v>
      </c>
      <c r="AT57" s="9"/>
      <c r="AU57" s="9"/>
      <c r="AV57" s="9"/>
      <c r="AW57" s="9"/>
      <c r="AX57" s="9"/>
      <c r="AY57" s="9"/>
      <c r="AZ57" s="9"/>
      <c r="BA57" s="9"/>
      <c r="BB57" s="108" t="s">
        <v>11</v>
      </c>
      <c r="BC57" s="9"/>
      <c r="BD57" s="9"/>
      <c r="BE57" s="9"/>
      <c r="BF57" s="9"/>
    </row>
    <row r="58" spans="1:58" ht="21.75" customHeight="1">
      <c r="A58" s="2"/>
      <c r="B58" s="2"/>
      <c r="C58" s="15" t="s">
        <v>62</v>
      </c>
      <c r="D58" s="15"/>
      <c r="E58" s="15"/>
      <c r="F58" s="15"/>
      <c r="G58" s="15"/>
      <c r="H58" s="15"/>
      <c r="I58" s="15"/>
      <c r="J58" s="15"/>
      <c r="K58" s="15"/>
      <c r="L58" s="10" t="s">
        <v>63</v>
      </c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109" t="s">
        <v>64</v>
      </c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9"/>
      <c r="AO58" s="9"/>
      <c r="AP58" s="9"/>
      <c r="AQ58" s="9"/>
      <c r="AR58" s="108"/>
      <c r="AS58" s="9" t="s">
        <v>11</v>
      </c>
      <c r="AT58" s="9"/>
      <c r="AU58" s="9"/>
      <c r="AV58" s="9"/>
      <c r="AW58" s="9"/>
      <c r="AX58" s="9"/>
      <c r="AY58" s="9"/>
      <c r="AZ58" s="9"/>
      <c r="BA58" s="9"/>
      <c r="BB58" s="108" t="s">
        <v>11</v>
      </c>
      <c r="BC58" s="9"/>
      <c r="BD58" s="9"/>
      <c r="BE58" s="9"/>
      <c r="BF58" s="9"/>
    </row>
    <row r="59" spans="1:58" ht="21.75" customHeight="1">
      <c r="A59" s="2"/>
      <c r="B59" s="2"/>
      <c r="C59" s="15" t="s">
        <v>65</v>
      </c>
      <c r="D59" s="15"/>
      <c r="E59" s="15"/>
      <c r="F59" s="15"/>
      <c r="G59" s="15"/>
      <c r="H59" s="15"/>
      <c r="I59" s="15"/>
      <c r="J59" s="15"/>
      <c r="K59" s="15"/>
      <c r="L59" s="18" t="s">
        <v>66</v>
      </c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8" t="s">
        <v>67</v>
      </c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7" t="s">
        <v>68</v>
      </c>
      <c r="AL59" s="17"/>
      <c r="AM59" s="17"/>
      <c r="AN59" s="18" t="s">
        <v>69</v>
      </c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2"/>
      <c r="BB59" s="2"/>
      <c r="BC59" s="2"/>
      <c r="BD59" s="2"/>
      <c r="BE59" s="2"/>
      <c r="BF59" s="2"/>
    </row>
    <row r="60" spans="1:58" ht="21.75" customHeight="1">
      <c r="A60" s="2"/>
      <c r="B60" s="2"/>
      <c r="C60" s="18" t="s">
        <v>70</v>
      </c>
      <c r="D60" s="14"/>
      <c r="E60" s="15"/>
      <c r="F60" s="15"/>
      <c r="G60" s="15"/>
      <c r="H60" s="15"/>
      <c r="I60" s="15"/>
      <c r="J60" s="15"/>
      <c r="K60" s="15"/>
      <c r="L60" s="2"/>
      <c r="M60" s="9" t="s">
        <v>71</v>
      </c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4" t="s">
        <v>72</v>
      </c>
      <c r="AB60" s="2"/>
      <c r="AC60" s="2"/>
      <c r="AD60" s="2"/>
      <c r="AE60" s="2"/>
      <c r="AF60" s="2"/>
      <c r="AG60" s="2"/>
      <c r="AH60" s="2"/>
      <c r="AI60" s="2"/>
      <c r="AJ60" s="2"/>
      <c r="AK60" s="107" t="s">
        <v>156</v>
      </c>
      <c r="AL60" s="18"/>
      <c r="AM60" s="18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1:58" ht="21.75" customHeight="1">
      <c r="A61" s="2"/>
      <c r="B61" s="2"/>
      <c r="C61" s="18" t="s">
        <v>73</v>
      </c>
      <c r="D61" s="89"/>
      <c r="E61" s="15"/>
      <c r="F61" s="15"/>
      <c r="G61" s="15"/>
      <c r="H61" s="15"/>
      <c r="I61" s="15"/>
      <c r="J61" s="15"/>
      <c r="K61" s="15"/>
      <c r="L61" s="2"/>
      <c r="M61" s="9" t="s">
        <v>74</v>
      </c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4" t="s">
        <v>72</v>
      </c>
      <c r="AB61" s="2"/>
      <c r="AC61" s="2"/>
      <c r="AD61" s="2"/>
      <c r="AE61" s="2"/>
      <c r="AF61" s="2"/>
      <c r="AG61" s="2"/>
      <c r="AH61" s="2"/>
      <c r="AI61" s="2"/>
      <c r="AJ61" s="2"/>
      <c r="AK61" s="107" t="s">
        <v>11</v>
      </c>
      <c r="AL61" s="16"/>
      <c r="AM61" s="18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1:58" ht="21.75" customHeight="1">
      <c r="A62" s="2"/>
      <c r="B62" s="2"/>
      <c r="C62" s="18" t="s">
        <v>75</v>
      </c>
      <c r="D62" s="16"/>
      <c r="E62" s="15"/>
      <c r="F62" s="15"/>
      <c r="G62" s="15"/>
      <c r="H62" s="15"/>
      <c r="I62" s="15"/>
      <c r="J62" s="15"/>
      <c r="K62" s="15"/>
      <c r="L62" s="2"/>
      <c r="M62" s="9" t="str">
        <f>IF(入力ｼｰﾄ!K18="","設定値 無","φ  "&amp;入力ｼｰﾄ!K18 &amp;" 以下で修正 ｏｒ 交換")</f>
        <v>設定値 無</v>
      </c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4" t="s">
        <v>76</v>
      </c>
      <c r="AB62" s="2"/>
      <c r="AC62" s="2"/>
      <c r="AD62" s="2"/>
      <c r="AE62" s="2"/>
      <c r="AF62" s="2"/>
      <c r="AG62" s="2"/>
      <c r="AH62" s="2"/>
      <c r="AI62" s="2"/>
      <c r="AJ62" s="2"/>
      <c r="AK62" s="107" t="s">
        <v>11</v>
      </c>
      <c r="AL62" s="16"/>
      <c r="AM62" s="18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1:58" ht="24.2" customHeight="1">
      <c r="A63" s="2"/>
      <c r="B63" s="2"/>
      <c r="C63" s="2"/>
      <c r="D63" s="17" t="s">
        <v>77</v>
      </c>
      <c r="E63" s="15"/>
      <c r="F63" s="15"/>
      <c r="G63" s="18" t="s">
        <v>78</v>
      </c>
      <c r="H63" s="15"/>
      <c r="I63" s="15"/>
      <c r="J63" s="15"/>
      <c r="K63" s="15"/>
      <c r="L63" s="18" t="s">
        <v>79</v>
      </c>
      <c r="M63" s="15"/>
      <c r="N63" s="15"/>
      <c r="O63" s="15"/>
      <c r="P63" s="15"/>
      <c r="Q63" s="15"/>
      <c r="R63" s="15" t="s">
        <v>80</v>
      </c>
      <c r="S63" s="18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 t="s">
        <v>81</v>
      </c>
      <c r="AF63" s="15"/>
      <c r="AG63" s="15" t="s">
        <v>82</v>
      </c>
      <c r="AH63" s="15"/>
      <c r="AI63" s="15" t="s">
        <v>154</v>
      </c>
      <c r="AJ63" s="15"/>
      <c r="AK63" s="15"/>
      <c r="AL63" s="18" t="s">
        <v>83</v>
      </c>
      <c r="AM63" s="15"/>
      <c r="AN63" s="15"/>
      <c r="AO63" s="15" t="s">
        <v>84</v>
      </c>
      <c r="AP63" s="15"/>
      <c r="AQ63" s="15"/>
      <c r="AR63" s="2"/>
      <c r="AS63" s="15"/>
      <c r="AT63" s="15"/>
      <c r="AU63" s="15"/>
      <c r="AV63" s="15"/>
      <c r="AW63" s="18" t="s">
        <v>85</v>
      </c>
      <c r="AX63" s="15"/>
      <c r="AY63" s="15"/>
      <c r="AZ63" s="15"/>
      <c r="BA63" s="18" t="s">
        <v>86</v>
      </c>
      <c r="BB63" s="16"/>
      <c r="BC63" s="15"/>
      <c r="BD63" s="15"/>
      <c r="BE63" s="15"/>
      <c r="BF63" s="15"/>
    </row>
    <row r="64" spans="1:58" ht="21.75" customHeight="1">
      <c r="A64" s="2"/>
      <c r="B64" s="2"/>
      <c r="C64" s="76"/>
      <c r="D64" s="77">
        <v>44872</v>
      </c>
      <c r="E64" s="30"/>
      <c r="F64" s="30"/>
      <c r="G64" s="86" t="s">
        <v>280</v>
      </c>
      <c r="H64" s="15"/>
      <c r="I64" s="15"/>
      <c r="J64" s="15"/>
      <c r="K64" s="15"/>
      <c r="L64" s="15" t="s">
        <v>280</v>
      </c>
      <c r="M64" s="15"/>
      <c r="N64" s="15"/>
      <c r="O64" s="15"/>
      <c r="P64" s="15"/>
      <c r="Q64" s="15"/>
      <c r="R64" s="15" t="s">
        <v>284</v>
      </c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7" t="s">
        <v>155</v>
      </c>
      <c r="AF64" s="17"/>
      <c r="AG64" s="17" t="s">
        <v>0</v>
      </c>
      <c r="AH64" s="17"/>
      <c r="AI64" s="17" t="s">
        <v>0</v>
      </c>
      <c r="AJ64" s="17"/>
      <c r="AK64" s="17"/>
      <c r="AL64" s="17" t="s">
        <v>0</v>
      </c>
      <c r="AM64" s="17"/>
      <c r="AN64" s="17"/>
      <c r="AO64" s="172" t="s">
        <v>0</v>
      </c>
      <c r="AP64" s="30"/>
      <c r="AQ64" s="30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</row>
    <row r="65" spans="1:58" ht="21.75" customHeight="1">
      <c r="A65" s="2"/>
      <c r="B65" s="2"/>
      <c r="C65" s="2"/>
      <c r="D65" s="77" t="s">
        <v>0</v>
      </c>
      <c r="E65" s="30"/>
      <c r="F65" s="30"/>
      <c r="G65" s="15" t="s">
        <v>0</v>
      </c>
      <c r="H65" s="15"/>
      <c r="I65" s="15"/>
      <c r="J65" s="15"/>
      <c r="K65" s="15"/>
      <c r="L65" s="15" t="s">
        <v>0</v>
      </c>
      <c r="M65" s="15"/>
      <c r="N65" s="15"/>
      <c r="O65" s="15"/>
      <c r="P65" s="15"/>
      <c r="Q65" s="15"/>
      <c r="R65" s="15" t="s">
        <v>153</v>
      </c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7" t="s">
        <v>155</v>
      </c>
      <c r="AF65" s="17"/>
      <c r="AG65" s="17" t="s">
        <v>0</v>
      </c>
      <c r="AH65" s="17"/>
      <c r="AI65" s="17" t="s">
        <v>0</v>
      </c>
      <c r="AJ65" s="17"/>
      <c r="AK65" s="17"/>
      <c r="AL65" s="17" t="s">
        <v>0</v>
      </c>
      <c r="AM65" s="17"/>
      <c r="AN65" s="17"/>
      <c r="AO65" s="172" t="s">
        <v>0</v>
      </c>
      <c r="AP65" s="30"/>
      <c r="AQ65" s="15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</row>
    <row r="66" spans="1:58" ht="21.75" customHeight="1">
      <c r="A66" s="2"/>
      <c r="B66" s="2"/>
      <c r="C66" s="2"/>
      <c r="D66" s="77" t="s">
        <v>0</v>
      </c>
      <c r="E66" s="30"/>
      <c r="F66" s="30"/>
      <c r="G66" s="15" t="s">
        <v>0</v>
      </c>
      <c r="H66" s="15"/>
      <c r="I66" s="15"/>
      <c r="J66" s="15"/>
      <c r="K66" s="15"/>
      <c r="L66" s="15" t="s">
        <v>0</v>
      </c>
      <c r="M66" s="15"/>
      <c r="N66" s="15"/>
      <c r="O66" s="15"/>
      <c r="P66" s="15"/>
      <c r="Q66" s="15"/>
      <c r="R66" s="15" t="s">
        <v>153</v>
      </c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7" t="s">
        <v>155</v>
      </c>
      <c r="AF66" s="17"/>
      <c r="AG66" s="17" t="s">
        <v>0</v>
      </c>
      <c r="AH66" s="17"/>
      <c r="AI66" s="17" t="s">
        <v>0</v>
      </c>
      <c r="AJ66" s="17"/>
      <c r="AK66" s="17"/>
      <c r="AL66" s="17" t="s">
        <v>0</v>
      </c>
      <c r="AM66" s="17"/>
      <c r="AN66" s="17"/>
      <c r="AO66" s="172" t="s">
        <v>0</v>
      </c>
      <c r="AP66" s="30"/>
      <c r="AQ66" s="15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</row>
    <row r="67" spans="1:58" ht="21.75" customHeight="1">
      <c r="A67" s="2"/>
      <c r="B67" s="2"/>
      <c r="C67" s="11"/>
      <c r="D67" s="77" t="s">
        <v>0</v>
      </c>
      <c r="E67" s="30"/>
      <c r="F67" s="30"/>
      <c r="G67" s="15" t="s">
        <v>0</v>
      </c>
      <c r="H67" s="15"/>
      <c r="I67" s="15"/>
      <c r="J67" s="15"/>
      <c r="K67" s="15"/>
      <c r="L67" s="15" t="s">
        <v>0</v>
      </c>
      <c r="M67" s="15"/>
      <c r="N67" s="15"/>
      <c r="O67" s="15"/>
      <c r="P67" s="15"/>
      <c r="Q67" s="15"/>
      <c r="R67" s="15" t="s">
        <v>153</v>
      </c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7" t="s">
        <v>155</v>
      </c>
      <c r="AF67" s="17"/>
      <c r="AG67" s="17" t="s">
        <v>0</v>
      </c>
      <c r="AH67" s="17"/>
      <c r="AI67" s="17" t="s">
        <v>0</v>
      </c>
      <c r="AJ67" s="17"/>
      <c r="AK67" s="17"/>
      <c r="AL67" s="17" t="s">
        <v>0</v>
      </c>
      <c r="AM67" s="17"/>
      <c r="AN67" s="17"/>
      <c r="AO67" s="172" t="s">
        <v>0</v>
      </c>
      <c r="AP67" s="30"/>
      <c r="AQ67" s="15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</row>
    <row r="68" spans="1:58" ht="21.75" customHeight="1">
      <c r="A68" s="2"/>
      <c r="B68" s="2"/>
      <c r="C68" s="11"/>
      <c r="D68" s="77" t="s">
        <v>0</v>
      </c>
      <c r="E68" s="30"/>
      <c r="F68" s="30"/>
      <c r="G68" s="15" t="s">
        <v>0</v>
      </c>
      <c r="H68" s="15"/>
      <c r="I68" s="15"/>
      <c r="J68" s="15"/>
      <c r="K68" s="15"/>
      <c r="L68" s="15" t="s">
        <v>0</v>
      </c>
      <c r="M68" s="15"/>
      <c r="N68" s="15"/>
      <c r="O68" s="15"/>
      <c r="P68" s="15"/>
      <c r="Q68" s="15"/>
      <c r="R68" s="15" t="s">
        <v>153</v>
      </c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7" t="s">
        <v>155</v>
      </c>
      <c r="AF68" s="17"/>
      <c r="AG68" s="17" t="s">
        <v>0</v>
      </c>
      <c r="AH68" s="17"/>
      <c r="AI68" s="17" t="s">
        <v>0</v>
      </c>
      <c r="AJ68" s="17"/>
      <c r="AK68" s="17"/>
      <c r="AL68" s="17" t="s">
        <v>0</v>
      </c>
      <c r="AM68" s="17"/>
      <c r="AN68" s="17"/>
      <c r="AO68" s="172" t="s">
        <v>0</v>
      </c>
      <c r="AP68" s="30"/>
      <c r="AQ68" s="15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</row>
    <row r="69" spans="1:58" ht="25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T69" s="18" t="s">
        <v>87</v>
      </c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</row>
  </sheetData>
  <scenarios current="0" show="0">
    <scenario name="sinsa" locked="1" count="1" user="浜北工場" comment="作成者:  浜北工場 日付:  1997/1/8">
      <inputCells r="S14" val="777"/>
    </scenario>
  </scenarios>
  <mergeCells count="9">
    <mergeCell ref="BD21:BE21"/>
    <mergeCell ref="AL25:BF27"/>
    <mergeCell ref="N41:S41"/>
    <mergeCell ref="F44:N44"/>
    <mergeCell ref="P44:AF44"/>
    <mergeCell ref="T41:V41"/>
    <mergeCell ref="P43:V43"/>
    <mergeCell ref="Z43:AF43"/>
    <mergeCell ref="F43:N43"/>
  </mergeCells>
  <phoneticPr fontId="44"/>
  <pageMargins left="0.31496062992125984" right="0.19685039370078741" top="0.19685039370078741" bottom="0.19685039370078741" header="0.31496062992125984" footer="0.31496062992125984"/>
  <pageSetup paperSize="8" scale="9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1" r:id="rId4" name="Button 57">
              <controlPr defaultSize="0" print="0" autoFill="0" autoLine="0" autoPict="0">
                <anchor moveWithCells="1" sizeWithCells="1">
                  <from>
                    <xdr:col>40</xdr:col>
                    <xdr:colOff>9525</xdr:colOff>
                    <xdr:row>1</xdr:row>
                    <xdr:rowOff>104775</xdr:rowOff>
                  </from>
                  <to>
                    <xdr:col>43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" name="Button 70">
              <controlPr defaultSize="0" print="0" autoFill="0" autoLine="0" autoPict="0">
                <anchor moveWithCells="1" sizeWithCells="1">
                  <from>
                    <xdr:col>43</xdr:col>
                    <xdr:colOff>9525</xdr:colOff>
                    <xdr:row>1</xdr:row>
                    <xdr:rowOff>104775</xdr:rowOff>
                  </from>
                  <to>
                    <xdr:col>46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" name="Button 71">
              <controlPr defaultSize="0" print="0" autoFill="0" autoLine="0" autoPict="0">
                <anchor moveWithCells="1" sizeWithCells="1">
                  <from>
                    <xdr:col>46</xdr:col>
                    <xdr:colOff>9525</xdr:colOff>
                    <xdr:row>1</xdr:row>
                    <xdr:rowOff>104775</xdr:rowOff>
                  </from>
                  <to>
                    <xdr:col>49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" name="Button 73">
              <controlPr defaultSize="0" print="0" autoFill="0" autoLine="0" autoPict="0">
                <anchor moveWithCells="1" sizeWithCells="1">
                  <from>
                    <xdr:col>49</xdr:col>
                    <xdr:colOff>9525</xdr:colOff>
                    <xdr:row>1</xdr:row>
                    <xdr:rowOff>104775</xdr:rowOff>
                  </from>
                  <to>
                    <xdr:col>52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Button 74">
              <controlPr defaultSize="0" print="0" autoFill="0" autoLine="0" autoPict="0">
                <anchor moveWithCells="1" sizeWithCells="1">
                  <from>
                    <xdr:col>52</xdr:col>
                    <xdr:colOff>9525</xdr:colOff>
                    <xdr:row>1</xdr:row>
                    <xdr:rowOff>104775</xdr:rowOff>
                  </from>
                  <to>
                    <xdr:col>55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Line="0" autoPict="0">
                <anchor moveWithCells="1" sizeWithCells="1">
                  <from>
                    <xdr:col>55</xdr:col>
                    <xdr:colOff>9525</xdr:colOff>
                    <xdr:row>1</xdr:row>
                    <xdr:rowOff>104775</xdr:rowOff>
                  </from>
                  <to>
                    <xdr:col>58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1054">
              <controlPr defaultSize="0" print="0" autoFill="0" autoLine="0" autoPict="0" macro="[0]!改訂">
                <anchor mov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4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11" name="lock">
              <controlPr defaultSize="0" print="0" autoFill="0" autoPict="0">
                <anchor moveWithCells="1">
                  <from>
                    <xdr:col>15</xdr:col>
                    <xdr:colOff>200025</xdr:colOff>
                    <xdr:row>38</xdr:row>
                    <xdr:rowOff>0</xdr:rowOff>
                  </from>
                  <to>
                    <xdr:col>20</xdr:col>
                    <xdr:colOff>28575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12" name="unlock">
              <controlPr defaultSize="0" print="0" autoFill="0" autoPict="0">
                <anchor moveWithCells="1">
                  <from>
                    <xdr:col>20</xdr:col>
                    <xdr:colOff>28575</xdr:colOff>
                    <xdr:row>38</xdr:row>
                    <xdr:rowOff>0</xdr:rowOff>
                  </from>
                  <to>
                    <xdr:col>24</xdr:col>
                    <xdr:colOff>9525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13" name="KDCON_BT">
              <controlPr defaultSize="0" print="0" autoFill="0" autoLine="0" autoPict="0">
                <anchor moveWithCells="1" sizeWithCells="1">
                  <from>
                    <xdr:col>5</xdr:col>
                    <xdr:colOff>114300</xdr:colOff>
                    <xdr:row>0</xdr:row>
                    <xdr:rowOff>38100</xdr:rowOff>
                  </from>
                  <to>
                    <xdr:col>9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4" name="Button 1148">
              <controlPr defaultSize="0" print="0" autoFill="0" autoLine="0" autoPict="0" macro="[0]!改訂履歴">
                <anchor moveWithCells="1">
                  <from>
                    <xdr:col>0</xdr:col>
                    <xdr:colOff>19050</xdr:colOff>
                    <xdr:row>62</xdr:row>
                    <xdr:rowOff>19050</xdr:rowOff>
                  </from>
                  <to>
                    <xdr:col>1</xdr:col>
                    <xdr:colOff>66675</xdr:colOff>
                    <xdr:row>67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55"/>
  <sheetViews>
    <sheetView showGridLines="0" showRowColHeaders="0" workbookViewId="0">
      <selection activeCell="K18" sqref="K18"/>
    </sheetView>
  </sheetViews>
  <sheetFormatPr defaultRowHeight="13.5"/>
  <cols>
    <col min="1" max="1" width="2.375" style="25" customWidth="1"/>
    <col min="2" max="2" width="11.5" customWidth="1"/>
    <col min="3" max="5" width="14.625" customWidth="1"/>
    <col min="6" max="6" width="2.625" customWidth="1"/>
    <col min="7" max="7" width="18.125" customWidth="1"/>
    <col min="8" max="8" width="14.125" customWidth="1"/>
    <col min="9" max="9" width="2.625" customWidth="1"/>
    <col min="10" max="10" width="15.625" customWidth="1"/>
    <col min="11" max="11" width="13.625" customWidth="1"/>
    <col min="12" max="12" width="2.875" customWidth="1"/>
    <col min="13" max="13" width="23.75" customWidth="1"/>
    <col min="14" max="14" width="12.5" customWidth="1"/>
    <col min="15" max="15" width="9.5" customWidth="1"/>
    <col min="16" max="16" width="7.375" customWidth="1"/>
    <col min="17" max="18" width="12.5" customWidth="1"/>
  </cols>
  <sheetData>
    <row r="1" spans="1:26" s="39" customFormat="1" ht="24" customHeight="1">
      <c r="A1" s="35"/>
      <c r="B1" s="93"/>
      <c r="C1" s="36"/>
      <c r="D1" s="36"/>
      <c r="E1" s="36"/>
      <c r="F1" s="36"/>
      <c r="G1" s="36"/>
      <c r="H1" s="37"/>
      <c r="I1" s="26"/>
      <c r="J1" s="37"/>
      <c r="K1" s="36"/>
      <c r="L1" s="36"/>
      <c r="M1" s="36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1:26" ht="72" customHeight="1">
      <c r="A2" s="21"/>
      <c r="B2" s="23"/>
      <c r="C2" s="92"/>
      <c r="D2" s="20"/>
      <c r="E2" s="23"/>
      <c r="F2" s="20"/>
      <c r="G2" s="20"/>
      <c r="H2" s="20"/>
      <c r="I2" s="20"/>
      <c r="J2" s="20"/>
      <c r="K2" s="20"/>
      <c r="L2" s="25"/>
      <c r="M2" s="20"/>
      <c r="N2" s="27"/>
      <c r="O2" s="27"/>
      <c r="P2" s="27"/>
      <c r="Q2" s="27"/>
      <c r="R2" s="27"/>
      <c r="S2" s="27"/>
      <c r="T2" s="27"/>
      <c r="U2" s="27"/>
      <c r="V2" s="27"/>
      <c r="W2" s="19"/>
      <c r="X2" s="19"/>
      <c r="Y2" s="19"/>
      <c r="Z2" s="19"/>
    </row>
    <row r="3" spans="1:26" ht="20.25" customHeight="1">
      <c r="A3" s="21"/>
      <c r="B3" s="54" t="s">
        <v>88</v>
      </c>
      <c r="C3" s="54" t="s">
        <v>5</v>
      </c>
      <c r="D3" s="94" t="s">
        <v>6</v>
      </c>
      <c r="E3" s="40"/>
      <c r="F3" s="23"/>
      <c r="G3" s="23"/>
      <c r="H3" s="23"/>
      <c r="I3" s="41"/>
      <c r="J3" s="44" t="s">
        <v>89</v>
      </c>
      <c r="K3" s="46">
        <f ca="1">TODAY()</f>
        <v>44872</v>
      </c>
      <c r="L3" s="23"/>
      <c r="M3" s="23"/>
      <c r="N3" s="28"/>
      <c r="O3" s="28"/>
      <c r="P3" s="28"/>
      <c r="Q3" s="28"/>
      <c r="R3" s="28"/>
      <c r="S3" s="27"/>
      <c r="T3" s="27"/>
      <c r="U3" s="27"/>
      <c r="V3" s="27"/>
      <c r="W3" s="19"/>
      <c r="X3" s="19"/>
      <c r="Y3" s="19"/>
      <c r="Z3" s="19"/>
    </row>
    <row r="4" spans="1:26" ht="18.75" customHeight="1" thickBot="1">
      <c r="A4" s="21"/>
      <c r="B4" s="328"/>
      <c r="C4" s="327" t="s">
        <v>239</v>
      </c>
      <c r="D4" s="329" t="s">
        <v>240</v>
      </c>
      <c r="E4" s="23"/>
      <c r="F4" s="22"/>
      <c r="G4" s="43"/>
      <c r="H4" s="42"/>
      <c r="I4" s="45"/>
      <c r="J4" s="42"/>
      <c r="K4" s="25"/>
      <c r="L4" s="23"/>
      <c r="M4" s="23"/>
      <c r="N4" s="28"/>
      <c r="O4" s="28"/>
      <c r="P4" s="28"/>
      <c r="Q4" s="28"/>
      <c r="R4" s="28"/>
      <c r="S4" s="27"/>
      <c r="T4" s="27"/>
      <c r="U4" s="27"/>
      <c r="V4" s="27"/>
      <c r="W4" s="19"/>
      <c r="X4" s="19"/>
      <c r="Y4" s="19"/>
      <c r="Z4" s="19"/>
    </row>
    <row r="5" spans="1:26" ht="16.5" customHeight="1">
      <c r="A5" s="21"/>
      <c r="B5" s="47"/>
      <c r="C5" s="48"/>
      <c r="D5" s="49"/>
      <c r="E5" s="50"/>
      <c r="F5" s="49"/>
      <c r="G5" s="49"/>
      <c r="H5" s="49"/>
      <c r="I5" s="51"/>
      <c r="J5" s="52"/>
      <c r="K5" s="23"/>
      <c r="L5" s="23"/>
      <c r="M5" s="23"/>
      <c r="N5" s="28"/>
      <c r="O5" s="28"/>
      <c r="P5" s="28"/>
      <c r="Q5" s="28"/>
      <c r="R5" s="28"/>
      <c r="S5" s="27"/>
      <c r="T5" s="27"/>
      <c r="U5" s="27"/>
      <c r="V5" s="27"/>
      <c r="W5" s="19"/>
      <c r="X5" s="19"/>
      <c r="Y5" s="19"/>
      <c r="Z5" s="19"/>
    </row>
    <row r="6" spans="1:26" ht="20.100000000000001" customHeight="1">
      <c r="A6" s="21"/>
      <c r="B6" s="49"/>
      <c r="C6" s="53"/>
      <c r="D6" s="54" t="s">
        <v>90</v>
      </c>
      <c r="E6" s="94" t="s">
        <v>91</v>
      </c>
      <c r="F6" s="27"/>
      <c r="G6" s="55" t="s">
        <v>92</v>
      </c>
      <c r="H6" s="96"/>
      <c r="I6" s="23"/>
      <c r="J6" s="55" t="s">
        <v>93</v>
      </c>
      <c r="K6" s="336"/>
      <c r="L6" s="23"/>
      <c r="M6" s="311" t="s">
        <v>225</v>
      </c>
      <c r="N6" s="336"/>
      <c r="O6" s="25"/>
      <c r="P6" s="25"/>
      <c r="Q6" s="65"/>
      <c r="R6" s="65"/>
      <c r="S6" s="27"/>
      <c r="T6" s="27"/>
      <c r="U6" s="27"/>
      <c r="V6" s="27"/>
      <c r="W6" s="19"/>
      <c r="X6" s="19"/>
      <c r="Y6" s="19"/>
      <c r="Z6" s="19"/>
    </row>
    <row r="7" spans="1:26" ht="20.100000000000001" customHeight="1">
      <c r="A7" s="21"/>
      <c r="B7" s="49"/>
      <c r="C7" s="360" t="s">
        <v>281</v>
      </c>
      <c r="D7" s="175">
        <v>27.89</v>
      </c>
      <c r="E7" s="174" t="s">
        <v>272</v>
      </c>
      <c r="F7" s="25"/>
      <c r="G7" s="56" t="s">
        <v>19</v>
      </c>
      <c r="H7" s="173">
        <v>2.5</v>
      </c>
      <c r="I7" s="50"/>
      <c r="J7" s="57" t="s">
        <v>94</v>
      </c>
      <c r="K7" s="337" t="s">
        <v>273</v>
      </c>
      <c r="L7" s="23"/>
      <c r="M7" s="292" t="s">
        <v>220</v>
      </c>
      <c r="N7" s="340">
        <v>62.9</v>
      </c>
      <c r="O7" s="25"/>
      <c r="P7" s="25"/>
      <c r="Q7" s="25"/>
      <c r="R7" s="25"/>
      <c r="S7" s="27"/>
      <c r="T7" s="27"/>
      <c r="U7" s="27"/>
      <c r="V7" s="27"/>
      <c r="W7" s="167">
        <v>19.2</v>
      </c>
      <c r="X7" s="167">
        <v>19.22</v>
      </c>
      <c r="Y7" s="19" t="str">
        <f>CONCATENATE(FIXED(W7,3,)," を越え ",FIXED(X7,3,)," 以下")</f>
        <v>19.200 を越え 19.220 以下</v>
      </c>
      <c r="Z7" s="19"/>
    </row>
    <row r="8" spans="1:26" ht="20.100000000000001" customHeight="1">
      <c r="A8" s="21"/>
      <c r="B8" s="49"/>
      <c r="C8" s="64" t="s">
        <v>95</v>
      </c>
      <c r="D8" s="173">
        <v>0</v>
      </c>
      <c r="E8" s="95" t="s">
        <v>96</v>
      </c>
      <c r="F8" s="25"/>
      <c r="G8" s="56" t="s">
        <v>97</v>
      </c>
      <c r="H8" s="173">
        <v>20</v>
      </c>
      <c r="I8" s="40"/>
      <c r="J8" s="58" t="s">
        <v>98</v>
      </c>
      <c r="K8" s="337" t="s">
        <v>48</v>
      </c>
      <c r="L8" s="23"/>
      <c r="M8" s="305" t="s">
        <v>221</v>
      </c>
      <c r="N8" s="349"/>
      <c r="O8" s="25"/>
      <c r="P8" s="25"/>
      <c r="Q8" s="25"/>
      <c r="R8" s="25"/>
      <c r="S8" s="27"/>
      <c r="T8" s="27"/>
      <c r="U8" s="27"/>
      <c r="V8" s="27"/>
      <c r="W8" s="167">
        <v>19.22</v>
      </c>
      <c r="X8" s="167">
        <v>19.239999999999998</v>
      </c>
      <c r="Y8" s="19" t="str">
        <f t="shared" ref="Y8:Y14" si="0">CONCATENATE(FIXED(W8,3,)," を越え ",FIXED(X8,3,)," 以下")</f>
        <v>19.220 を越え 19.240 以下</v>
      </c>
      <c r="Z8" s="19"/>
    </row>
    <row r="9" spans="1:26" ht="20.100000000000001" customHeight="1">
      <c r="A9" s="21"/>
      <c r="B9" s="59"/>
      <c r="C9" s="64" t="s">
        <v>99</v>
      </c>
      <c r="D9" s="173">
        <v>-0.04</v>
      </c>
      <c r="E9" s="95" t="s">
        <v>96</v>
      </c>
      <c r="F9" s="25"/>
      <c r="G9" s="56" t="s">
        <v>100</v>
      </c>
      <c r="H9" s="173">
        <v>22</v>
      </c>
      <c r="I9" s="23"/>
      <c r="J9" s="58" t="s">
        <v>101</v>
      </c>
      <c r="K9" s="337" t="s">
        <v>274</v>
      </c>
      <c r="L9" s="23"/>
      <c r="M9" s="306" t="s">
        <v>222</v>
      </c>
      <c r="N9" s="350"/>
      <c r="O9" s="25"/>
      <c r="P9" s="25"/>
      <c r="Q9" s="25"/>
      <c r="R9" s="25"/>
      <c r="S9" s="27"/>
      <c r="T9" s="27"/>
      <c r="U9" s="27"/>
      <c r="V9" s="27"/>
      <c r="W9" s="167">
        <v>19.239999999999998</v>
      </c>
      <c r="X9" s="167">
        <v>19.260000000000002</v>
      </c>
      <c r="Y9" s="19" t="str">
        <f t="shared" si="0"/>
        <v>19.240 を越え 19.260 以下</v>
      </c>
      <c r="Z9" s="19"/>
    </row>
    <row r="10" spans="1:26" ht="20.100000000000001" customHeight="1">
      <c r="A10" s="21"/>
      <c r="B10" s="59"/>
      <c r="C10" s="56" t="s">
        <v>49</v>
      </c>
      <c r="D10" s="176" t="s">
        <v>261</v>
      </c>
      <c r="E10" s="177" t="str">
        <f>IF(D10&lt;&gt;"","ヤマハ"&amp;MID(D10,4,1)&amp;"級")</f>
        <v>ヤマハ4級</v>
      </c>
      <c r="F10" s="25"/>
      <c r="G10" s="56" t="s">
        <v>102</v>
      </c>
      <c r="H10" s="113" t="s">
        <v>103</v>
      </c>
      <c r="I10" s="23"/>
      <c r="J10" s="60" t="s">
        <v>104</v>
      </c>
      <c r="K10" s="337" t="s">
        <v>273</v>
      </c>
      <c r="L10" s="23"/>
      <c r="M10" s="292" t="s">
        <v>219</v>
      </c>
      <c r="N10" s="337"/>
      <c r="O10" s="25"/>
      <c r="P10" s="25"/>
      <c r="Q10" s="25"/>
      <c r="R10" s="25"/>
      <c r="S10" s="27"/>
      <c r="T10" s="27"/>
      <c r="U10" s="27"/>
      <c r="V10" s="27"/>
      <c r="W10" s="167">
        <v>19.260000000000002</v>
      </c>
      <c r="X10" s="167">
        <v>19.28</v>
      </c>
      <c r="Y10" s="19" t="str">
        <f t="shared" si="0"/>
        <v>19.260 を越え 19.280 以下</v>
      </c>
      <c r="Z10" s="19"/>
    </row>
    <row r="11" spans="1:26" ht="20.100000000000001" customHeight="1" thickBot="1">
      <c r="A11" s="21"/>
      <c r="B11" s="49"/>
      <c r="C11" s="324" t="s">
        <v>50</v>
      </c>
      <c r="D11" s="325" t="s">
        <v>96</v>
      </c>
      <c r="E11" s="326" t="s">
        <v>231</v>
      </c>
      <c r="F11" s="25"/>
      <c r="G11" s="64" t="s">
        <v>105</v>
      </c>
      <c r="H11" s="173"/>
      <c r="I11" s="23"/>
      <c r="J11" s="58" t="s">
        <v>106</v>
      </c>
      <c r="K11" s="337" t="s">
        <v>275</v>
      </c>
      <c r="L11" s="23"/>
      <c r="M11" s="57" t="s">
        <v>202</v>
      </c>
      <c r="N11" s="337"/>
      <c r="O11" s="25"/>
      <c r="P11" s="25"/>
      <c r="Q11" s="25"/>
      <c r="R11" s="25"/>
      <c r="S11" s="27"/>
      <c r="T11" s="27"/>
      <c r="U11" s="27"/>
      <c r="V11" s="27"/>
      <c r="W11" s="167">
        <v>19.28</v>
      </c>
      <c r="X11" s="167">
        <v>19.3</v>
      </c>
      <c r="Y11" s="19" t="str">
        <f t="shared" si="0"/>
        <v>19.280 を越え 19.300 以下</v>
      </c>
      <c r="Z11" s="19"/>
    </row>
    <row r="12" spans="1:26" ht="20.100000000000001" customHeight="1" thickBot="1">
      <c r="A12" s="21"/>
      <c r="B12" s="49"/>
      <c r="C12" s="23"/>
      <c r="D12" s="23"/>
      <c r="E12" s="23"/>
      <c r="F12" s="26"/>
      <c r="G12" s="61" t="s">
        <v>107</v>
      </c>
      <c r="H12" s="97"/>
      <c r="I12" s="23"/>
      <c r="J12" s="58" t="s">
        <v>108</v>
      </c>
      <c r="K12" s="337" t="s">
        <v>48</v>
      </c>
      <c r="L12" s="23"/>
      <c r="M12" s="338" t="s">
        <v>228</v>
      </c>
      <c r="N12" s="333"/>
      <c r="O12" s="25"/>
      <c r="P12" s="25"/>
      <c r="Q12" s="65"/>
      <c r="R12" s="65"/>
      <c r="S12" s="27"/>
      <c r="T12" s="27"/>
      <c r="U12" s="27"/>
      <c r="V12" s="27"/>
      <c r="W12" s="167">
        <v>19.3</v>
      </c>
      <c r="X12" s="167">
        <v>19.32</v>
      </c>
      <c r="Y12" s="19" t="str">
        <f t="shared" si="0"/>
        <v>19.300 を越え 19.320 以下</v>
      </c>
      <c r="Z12" s="19"/>
    </row>
    <row r="13" spans="1:26" ht="20.100000000000001" customHeight="1" thickTop="1" thickBot="1">
      <c r="A13" s="21"/>
      <c r="B13" s="49"/>
      <c r="C13" s="332" t="s">
        <v>109</v>
      </c>
      <c r="D13" s="334">
        <v>12</v>
      </c>
      <c r="E13" s="23"/>
      <c r="F13" s="62"/>
      <c r="G13" s="61" t="s">
        <v>110</v>
      </c>
      <c r="H13" s="113"/>
      <c r="I13" s="23"/>
      <c r="J13" s="58" t="s">
        <v>111</v>
      </c>
      <c r="K13" s="337" t="s">
        <v>48</v>
      </c>
      <c r="L13" s="23"/>
      <c r="M13" s="25"/>
      <c r="N13" s="315" t="s">
        <v>230</v>
      </c>
      <c r="O13" s="25"/>
      <c r="P13" s="25"/>
      <c r="Q13" s="25"/>
      <c r="R13" s="25"/>
      <c r="S13" s="27"/>
      <c r="T13" s="27"/>
      <c r="U13" s="27"/>
      <c r="V13" s="27"/>
      <c r="W13" s="167">
        <v>19.32</v>
      </c>
      <c r="X13" s="167">
        <v>19.34</v>
      </c>
      <c r="Y13" s="19" t="str">
        <f t="shared" si="0"/>
        <v>19.320 を越え 19.340 以下</v>
      </c>
      <c r="Z13" s="19"/>
    </row>
    <row r="14" spans="1:26" ht="20.100000000000001" customHeight="1" thickTop="1">
      <c r="A14" s="21"/>
      <c r="B14" s="49"/>
      <c r="C14" s="23"/>
      <c r="D14" s="23"/>
      <c r="E14" s="23"/>
      <c r="F14" s="62"/>
      <c r="G14" s="61" t="s">
        <v>112</v>
      </c>
      <c r="H14" s="97"/>
      <c r="I14" s="23"/>
      <c r="J14" s="58" t="s">
        <v>113</v>
      </c>
      <c r="K14" s="337" t="s">
        <v>276</v>
      </c>
      <c r="L14" s="23"/>
      <c r="M14" s="25"/>
      <c r="N14" s="314" t="s">
        <v>229</v>
      </c>
      <c r="O14" s="25"/>
      <c r="P14" s="25"/>
      <c r="Q14" s="25"/>
      <c r="R14" s="25"/>
      <c r="S14" s="27"/>
      <c r="T14" s="27"/>
      <c r="U14" s="27"/>
      <c r="V14" s="27"/>
      <c r="W14" s="167">
        <v>19.34</v>
      </c>
      <c r="X14" s="167">
        <v>19.36</v>
      </c>
      <c r="Y14" s="19" t="str">
        <f t="shared" si="0"/>
        <v>19.340 を越え 19.360 以下</v>
      </c>
      <c r="Z14" s="19"/>
    </row>
    <row r="15" spans="1:26" ht="20.100000000000001" customHeight="1" thickBot="1">
      <c r="A15" s="21"/>
      <c r="B15" s="63"/>
      <c r="C15" s="361" t="s">
        <v>282</v>
      </c>
      <c r="D15" s="333">
        <v>4</v>
      </c>
      <c r="E15" s="23"/>
      <c r="F15" s="25"/>
      <c r="G15" s="64" t="s">
        <v>114</v>
      </c>
      <c r="H15" s="174">
        <v>41</v>
      </c>
      <c r="I15" s="23"/>
      <c r="J15" s="57" t="s">
        <v>115</v>
      </c>
      <c r="K15" s="337" t="s">
        <v>277</v>
      </c>
      <c r="L15" s="23"/>
      <c r="M15" s="25"/>
      <c r="N15" s="25"/>
      <c r="O15" s="25"/>
      <c r="P15" s="25"/>
      <c r="Q15" s="25"/>
      <c r="R15" s="25"/>
      <c r="S15" s="27"/>
      <c r="T15" s="27"/>
      <c r="U15" s="27"/>
      <c r="V15" s="27"/>
      <c r="W15" s="19"/>
      <c r="X15" s="19"/>
      <c r="Y15" s="19"/>
      <c r="Z15" s="19"/>
    </row>
    <row r="16" spans="1:26" ht="20.100000000000001" customHeight="1" thickTop="1" thickBot="1">
      <c r="A16" s="21"/>
      <c r="B16" s="63"/>
      <c r="C16" s="23"/>
      <c r="D16" s="23"/>
      <c r="E16" s="28"/>
      <c r="F16" s="27"/>
      <c r="G16" s="360" t="s">
        <v>283</v>
      </c>
      <c r="H16" s="362">
        <v>0.02</v>
      </c>
      <c r="I16" s="23"/>
      <c r="J16" s="338" t="s">
        <v>116</v>
      </c>
      <c r="K16" s="339" t="s">
        <v>278</v>
      </c>
      <c r="L16" s="23"/>
      <c r="M16" s="25"/>
      <c r="N16" s="25"/>
      <c r="O16" s="25"/>
      <c r="P16" s="25"/>
      <c r="Q16" s="25"/>
      <c r="R16" s="25"/>
      <c r="S16" s="27"/>
      <c r="T16" s="27"/>
      <c r="U16" s="27"/>
      <c r="V16" s="27"/>
      <c r="W16" s="19"/>
      <c r="X16" s="19"/>
      <c r="Y16" s="19"/>
      <c r="Z16" s="19"/>
    </row>
    <row r="17" spans="1:26" ht="20.100000000000001" customHeight="1" thickTop="1">
      <c r="A17" s="21"/>
      <c r="B17" s="48"/>
      <c r="C17" s="55" t="s">
        <v>117</v>
      </c>
      <c r="D17" s="96"/>
      <c r="E17" s="27"/>
      <c r="F17" s="25"/>
      <c r="G17" s="111" t="s">
        <v>46</v>
      </c>
      <c r="H17" s="174">
        <v>0.04</v>
      </c>
      <c r="I17" s="23"/>
      <c r="J17" s="20"/>
      <c r="K17" s="20"/>
      <c r="L17" s="23"/>
      <c r="M17" s="25"/>
      <c r="N17" s="25"/>
      <c r="O17" s="25"/>
      <c r="P17" s="25"/>
      <c r="Q17" s="25"/>
      <c r="R17" s="25"/>
      <c r="S17" s="27"/>
      <c r="T17" s="27"/>
      <c r="U17" s="27"/>
      <c r="V17" s="27"/>
      <c r="W17" s="19"/>
      <c r="X17" s="19"/>
      <c r="Y17" s="19"/>
      <c r="Z17" s="19"/>
    </row>
    <row r="18" spans="1:26" ht="20.100000000000001" customHeight="1" thickBot="1">
      <c r="A18" s="21"/>
      <c r="B18" s="49"/>
      <c r="C18" s="56" t="s">
        <v>118</v>
      </c>
      <c r="D18" s="173">
        <v>4</v>
      </c>
      <c r="E18" s="25"/>
      <c r="F18" s="25"/>
      <c r="G18" s="111" t="s">
        <v>47</v>
      </c>
      <c r="H18" s="112">
        <v>3</v>
      </c>
      <c r="I18" s="23"/>
      <c r="J18" s="335" t="s">
        <v>119</v>
      </c>
      <c r="K18" s="333"/>
      <c r="L18" s="23"/>
      <c r="M18" s="25"/>
      <c r="N18" s="25"/>
      <c r="O18" s="25"/>
      <c r="P18" s="25"/>
      <c r="Q18" s="25"/>
      <c r="R18" s="25"/>
      <c r="S18" s="27"/>
      <c r="T18" s="27"/>
      <c r="U18" s="27"/>
      <c r="V18" s="27"/>
      <c r="W18" s="19"/>
      <c r="X18" s="19"/>
      <c r="Y18" s="168"/>
      <c r="Z18" s="19"/>
    </row>
    <row r="19" spans="1:26" ht="20.100000000000001" customHeight="1" thickTop="1" thickBot="1">
      <c r="A19" s="21"/>
      <c r="B19" s="49"/>
      <c r="C19" s="324" t="s">
        <v>120</v>
      </c>
      <c r="D19" s="327">
        <v>5</v>
      </c>
      <c r="E19" s="65"/>
      <c r="F19" s="49"/>
      <c r="G19" s="49"/>
      <c r="H19" s="49"/>
      <c r="I19" s="23"/>
      <c r="J19" s="20"/>
      <c r="K19" s="20"/>
      <c r="L19" s="23"/>
      <c r="M19" s="25"/>
      <c r="N19" s="25"/>
      <c r="O19" s="25"/>
      <c r="P19" s="25"/>
      <c r="Q19" s="25"/>
      <c r="R19" s="25"/>
      <c r="S19" s="27"/>
      <c r="T19" s="27"/>
      <c r="U19" s="27"/>
      <c r="V19" s="27"/>
      <c r="W19" s="19"/>
      <c r="X19" s="19"/>
      <c r="Y19" s="168"/>
      <c r="Z19" s="19"/>
    </row>
    <row r="20" spans="1:26" ht="20.100000000000001" customHeight="1">
      <c r="A20" s="21"/>
      <c r="B20" s="49"/>
      <c r="C20" s="67"/>
      <c r="D20" s="23"/>
      <c r="E20" s="25"/>
      <c r="F20" s="49"/>
      <c r="G20" s="49"/>
      <c r="H20" s="49"/>
      <c r="I20" s="23"/>
      <c r="J20" s="20"/>
      <c r="K20" s="20"/>
      <c r="L20" s="23"/>
      <c r="M20" s="25"/>
      <c r="N20" s="25"/>
      <c r="O20" s="25"/>
      <c r="P20" s="25"/>
      <c r="Q20" s="25"/>
      <c r="R20" s="25"/>
      <c r="S20" s="27"/>
      <c r="T20" s="27"/>
      <c r="U20" s="27"/>
      <c r="V20" s="27"/>
      <c r="W20" s="19"/>
      <c r="X20" s="19"/>
      <c r="Y20" s="19"/>
      <c r="Z20" s="19"/>
    </row>
    <row r="21" spans="1:26" ht="20.100000000000001" customHeight="1">
      <c r="A21" s="21"/>
      <c r="B21" s="49"/>
      <c r="C21" s="49"/>
      <c r="D21" s="49"/>
      <c r="E21" s="49"/>
      <c r="F21" s="49"/>
      <c r="G21" s="49"/>
      <c r="H21" s="49"/>
      <c r="I21" s="23"/>
      <c r="J21" s="20"/>
      <c r="K21" s="20"/>
      <c r="L21" s="23"/>
      <c r="M21" s="25"/>
      <c r="N21" s="25"/>
      <c r="O21" s="25"/>
      <c r="P21" s="25"/>
      <c r="Q21" s="25"/>
      <c r="R21" s="25"/>
      <c r="S21" s="27"/>
      <c r="T21" s="27"/>
      <c r="U21" s="27"/>
      <c r="V21" s="27"/>
      <c r="W21" s="19"/>
      <c r="X21" s="19"/>
      <c r="Y21" s="19"/>
      <c r="Z21" s="19"/>
    </row>
    <row r="22" spans="1:26" ht="20.100000000000001" customHeight="1">
      <c r="A22" s="21"/>
      <c r="B22" s="90" t="s">
        <v>121</v>
      </c>
      <c r="C22" s="83" t="s">
        <v>122</v>
      </c>
      <c r="D22" s="55" t="s">
        <v>123</v>
      </c>
      <c r="E22" s="121"/>
      <c r="F22" s="120"/>
      <c r="G22" s="121" t="s">
        <v>124</v>
      </c>
      <c r="H22" s="122"/>
      <c r="I22" s="23"/>
      <c r="J22" s="66"/>
      <c r="K22" s="25"/>
      <c r="L22" s="23"/>
      <c r="M22" s="25"/>
      <c r="N22" s="25"/>
      <c r="O22" s="25"/>
      <c r="P22" s="25"/>
      <c r="Q22" s="25"/>
      <c r="R22" s="25"/>
      <c r="S22" s="27"/>
      <c r="T22" s="27"/>
      <c r="U22" s="27"/>
      <c r="V22" s="27"/>
      <c r="W22" s="19"/>
      <c r="X22" s="19"/>
      <c r="Y22" s="19"/>
      <c r="Z22" s="19"/>
    </row>
    <row r="23" spans="1:26" ht="20.100000000000001" customHeight="1">
      <c r="A23" s="21"/>
      <c r="B23" s="91"/>
      <c r="C23" s="84" t="s">
        <v>280</v>
      </c>
      <c r="D23" s="116"/>
      <c r="E23" s="118"/>
      <c r="F23" s="114"/>
      <c r="G23" s="118"/>
      <c r="H23" s="123"/>
      <c r="I23" s="23"/>
      <c r="J23" s="23"/>
      <c r="K23" s="23"/>
      <c r="L23" s="23"/>
      <c r="M23" s="25"/>
      <c r="N23" s="25"/>
      <c r="O23" s="25"/>
      <c r="P23" s="25"/>
      <c r="Q23" s="25"/>
      <c r="R23" s="25"/>
      <c r="S23" s="27"/>
      <c r="T23" s="27"/>
      <c r="U23" s="27"/>
      <c r="V23" s="27"/>
      <c r="W23" s="19"/>
      <c r="X23" s="19"/>
      <c r="Y23" s="19"/>
      <c r="Z23" s="19"/>
    </row>
    <row r="24" spans="1:26" ht="20.100000000000001" customHeight="1">
      <c r="A24" s="21"/>
      <c r="B24" s="91"/>
      <c r="C24" s="84" t="s">
        <v>280</v>
      </c>
      <c r="D24" s="116"/>
      <c r="E24" s="118"/>
      <c r="F24" s="114"/>
      <c r="G24" s="118"/>
      <c r="H24" s="123"/>
      <c r="I24" s="23"/>
      <c r="J24" s="23"/>
      <c r="K24" s="23"/>
      <c r="L24" s="23"/>
      <c r="M24" s="25"/>
      <c r="N24" s="25"/>
      <c r="O24" s="25"/>
      <c r="P24" s="25"/>
      <c r="Q24" s="25"/>
      <c r="R24" s="25"/>
      <c r="S24" s="27"/>
      <c r="T24" s="27"/>
      <c r="U24" s="27"/>
      <c r="V24" s="27"/>
      <c r="W24" s="19"/>
      <c r="X24" s="19"/>
      <c r="Y24" s="19"/>
      <c r="Z24" s="19"/>
    </row>
    <row r="25" spans="1:26" ht="20.100000000000001" customHeight="1">
      <c r="A25" s="21"/>
      <c r="B25" s="91"/>
      <c r="C25" s="84" t="s">
        <v>280</v>
      </c>
      <c r="D25" s="116"/>
      <c r="E25" s="118"/>
      <c r="F25" s="114"/>
      <c r="G25" s="118"/>
      <c r="H25" s="123"/>
      <c r="I25" s="23"/>
      <c r="J25" s="23"/>
      <c r="K25" s="23"/>
      <c r="L25" s="23"/>
      <c r="M25" s="25"/>
      <c r="N25" s="25"/>
      <c r="O25" s="25"/>
      <c r="P25" s="25"/>
      <c r="Q25" s="25"/>
      <c r="R25" s="25"/>
      <c r="S25" s="27"/>
      <c r="T25" s="27"/>
      <c r="U25" s="27"/>
      <c r="V25" s="27"/>
      <c r="W25" s="19"/>
      <c r="X25" s="19"/>
      <c r="Y25" s="19"/>
      <c r="Z25" s="19"/>
    </row>
    <row r="26" spans="1:26" ht="20.100000000000001" customHeight="1">
      <c r="A26" s="21"/>
      <c r="B26" s="91"/>
      <c r="C26" s="84" t="s">
        <v>280</v>
      </c>
      <c r="D26" s="116"/>
      <c r="E26" s="118"/>
      <c r="F26" s="114"/>
      <c r="G26" s="118"/>
      <c r="H26" s="123"/>
      <c r="I26" s="20"/>
      <c r="J26" s="23"/>
      <c r="K26" s="23"/>
      <c r="L26" s="22"/>
      <c r="M26" s="25"/>
      <c r="N26" s="25"/>
      <c r="O26" s="25"/>
      <c r="P26" s="25"/>
      <c r="Q26" s="25"/>
      <c r="R26" s="25"/>
      <c r="S26" s="27"/>
      <c r="T26" s="27"/>
      <c r="U26" s="27"/>
      <c r="V26" s="27"/>
      <c r="W26" s="19"/>
      <c r="X26" s="19"/>
      <c r="Y26" s="19"/>
      <c r="Z26" s="19"/>
    </row>
    <row r="27" spans="1:26" ht="20.100000000000001" customHeight="1">
      <c r="A27" s="21"/>
      <c r="B27" s="91"/>
      <c r="C27" s="84" t="s">
        <v>280</v>
      </c>
      <c r="D27" s="116"/>
      <c r="E27" s="118"/>
      <c r="F27" s="114"/>
      <c r="G27" s="118"/>
      <c r="H27" s="123"/>
      <c r="I27" s="23"/>
      <c r="J27" s="23"/>
      <c r="K27" s="23"/>
      <c r="L27" s="50"/>
      <c r="M27" s="25"/>
      <c r="N27" s="25"/>
      <c r="O27" s="25"/>
      <c r="P27" s="25"/>
      <c r="Q27" s="25"/>
      <c r="R27" s="25"/>
      <c r="S27" s="27"/>
      <c r="T27" s="27"/>
      <c r="U27" s="27"/>
      <c r="V27" s="27"/>
      <c r="W27" s="19"/>
      <c r="X27" s="19"/>
      <c r="Y27" s="19"/>
      <c r="Z27" s="19"/>
    </row>
    <row r="28" spans="1:26" ht="20.100000000000001" customHeight="1">
      <c r="A28" s="21"/>
      <c r="B28" s="91"/>
      <c r="C28" s="84" t="s">
        <v>280</v>
      </c>
      <c r="D28" s="116"/>
      <c r="E28" s="118"/>
      <c r="F28" s="114"/>
      <c r="G28" s="118"/>
      <c r="H28" s="123"/>
      <c r="I28" s="23"/>
      <c r="J28" s="23"/>
      <c r="K28" s="23"/>
      <c r="L28" s="50"/>
      <c r="M28" s="25"/>
      <c r="N28" s="25"/>
      <c r="O28" s="25"/>
      <c r="P28" s="25"/>
      <c r="Q28" s="25"/>
      <c r="R28" s="25"/>
      <c r="S28" s="27"/>
      <c r="T28" s="27"/>
      <c r="U28" s="27"/>
      <c r="V28" s="27"/>
      <c r="W28" s="19"/>
      <c r="X28" s="19"/>
      <c r="Y28" s="19"/>
      <c r="Z28" s="19"/>
    </row>
    <row r="29" spans="1:26" ht="20.100000000000001" customHeight="1">
      <c r="A29" s="21"/>
      <c r="B29" s="91"/>
      <c r="C29" s="84" t="s">
        <v>280</v>
      </c>
      <c r="D29" s="116"/>
      <c r="E29" s="118"/>
      <c r="F29" s="114"/>
      <c r="G29" s="118"/>
      <c r="H29" s="123"/>
      <c r="I29" s="23"/>
      <c r="J29" s="23"/>
      <c r="K29" s="23"/>
      <c r="L29" s="50"/>
      <c r="M29" s="25"/>
      <c r="N29" s="25"/>
      <c r="O29" s="25"/>
      <c r="P29" s="25"/>
      <c r="Q29" s="25"/>
      <c r="R29" s="25"/>
      <c r="S29" s="27"/>
      <c r="T29" s="27"/>
      <c r="U29" s="27"/>
      <c r="V29" s="27"/>
      <c r="W29" s="19"/>
      <c r="X29" s="19"/>
      <c r="Y29" s="19"/>
      <c r="Z29" s="19"/>
    </row>
    <row r="30" spans="1:26" ht="20.100000000000001" customHeight="1" thickBot="1">
      <c r="A30" s="21"/>
      <c r="B30" s="125"/>
      <c r="C30" s="163" t="s">
        <v>280</v>
      </c>
      <c r="D30" s="117"/>
      <c r="E30" s="119"/>
      <c r="F30" s="115"/>
      <c r="G30" s="119"/>
      <c r="H30" s="124"/>
      <c r="I30" s="23"/>
      <c r="J30" s="23"/>
      <c r="K30" s="23"/>
      <c r="L30" s="50"/>
      <c r="M30" s="25"/>
      <c r="N30" s="25"/>
      <c r="O30" s="25"/>
      <c r="P30" s="25"/>
      <c r="Q30" s="25"/>
      <c r="R30" s="25"/>
      <c r="S30" s="27"/>
      <c r="T30" s="27"/>
      <c r="U30" s="27"/>
      <c r="V30" s="27"/>
      <c r="W30" s="19"/>
      <c r="X30" s="19"/>
      <c r="Y30" s="19"/>
      <c r="Z30" s="19"/>
    </row>
    <row r="31" spans="1:26" ht="20.100000000000001" customHeight="1">
      <c r="A31" s="21"/>
      <c r="B31" s="23"/>
      <c r="C31" s="23"/>
      <c r="D31" s="23"/>
      <c r="E31" s="25"/>
      <c r="F31" s="23"/>
      <c r="G31" s="23"/>
      <c r="H31" s="23"/>
      <c r="I31" s="23"/>
      <c r="J31" s="23"/>
      <c r="K31" s="23"/>
      <c r="L31" s="50"/>
      <c r="M31" s="25"/>
      <c r="N31" s="25"/>
      <c r="O31" s="25"/>
      <c r="P31" s="25"/>
      <c r="Q31" s="25"/>
      <c r="R31" s="25"/>
      <c r="S31" s="27"/>
      <c r="T31" s="27"/>
      <c r="U31" s="27"/>
      <c r="V31" s="27"/>
      <c r="W31" s="19"/>
      <c r="X31" s="19"/>
      <c r="Y31" s="19"/>
      <c r="Z31" s="19"/>
    </row>
    <row r="32" spans="1:26" ht="15" customHeight="1">
      <c r="A32" s="21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50"/>
      <c r="M32" s="25"/>
      <c r="N32" s="25"/>
      <c r="O32" s="25"/>
      <c r="P32" s="25"/>
      <c r="Q32" s="25"/>
      <c r="R32" s="25"/>
      <c r="S32" s="27"/>
      <c r="T32" s="27"/>
      <c r="U32" s="27"/>
      <c r="V32" s="27"/>
      <c r="W32" s="19"/>
      <c r="X32" s="19"/>
      <c r="Y32" s="19"/>
      <c r="Z32" s="19"/>
    </row>
    <row r="33" spans="1:26" ht="15" customHeight="1">
      <c r="A33" s="21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50"/>
      <c r="M33" s="25"/>
      <c r="N33" s="25"/>
      <c r="O33" s="25"/>
      <c r="P33" s="25"/>
      <c r="Q33" s="25"/>
      <c r="R33" s="25"/>
      <c r="S33" s="27"/>
      <c r="T33" s="27"/>
      <c r="U33" s="27"/>
      <c r="V33" s="27"/>
      <c r="W33" s="19"/>
      <c r="X33" s="19"/>
      <c r="Y33" s="19"/>
      <c r="Z33" s="19"/>
    </row>
    <row r="34" spans="1:26" ht="15" customHeight="1">
      <c r="A34" s="21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50"/>
      <c r="M34" s="25"/>
      <c r="N34" s="25"/>
      <c r="O34" s="25"/>
      <c r="P34" s="25"/>
      <c r="Q34" s="25"/>
      <c r="R34" s="25"/>
      <c r="S34" s="27"/>
      <c r="T34" s="27"/>
      <c r="U34" s="27"/>
      <c r="V34" s="27"/>
      <c r="W34" s="19"/>
      <c r="X34" s="19"/>
      <c r="Y34" s="19"/>
      <c r="Z34" s="19"/>
    </row>
    <row r="35" spans="1:26" ht="15" customHeight="1">
      <c r="A35" s="21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50"/>
      <c r="M35" s="25"/>
      <c r="N35" s="25"/>
      <c r="O35" s="25"/>
      <c r="P35" s="25"/>
      <c r="Q35" s="25"/>
      <c r="R35" s="25"/>
      <c r="S35" s="27"/>
      <c r="T35" s="27"/>
      <c r="U35" s="27"/>
      <c r="V35" s="27"/>
      <c r="W35" s="19"/>
      <c r="X35" s="19"/>
      <c r="Y35" s="19"/>
      <c r="Z35" s="19"/>
    </row>
    <row r="36" spans="1:26" ht="15" customHeight="1">
      <c r="A36" s="21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5"/>
      <c r="N36" s="25"/>
      <c r="O36" s="25"/>
      <c r="P36" s="25"/>
      <c r="Q36" s="25"/>
      <c r="R36" s="25"/>
      <c r="S36" s="27"/>
      <c r="T36" s="27"/>
      <c r="U36" s="27"/>
      <c r="V36" s="27"/>
      <c r="W36" s="19"/>
      <c r="X36" s="19"/>
      <c r="Y36" s="19"/>
      <c r="Z36" s="19"/>
    </row>
    <row r="37" spans="1:26">
      <c r="A37" s="21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6">
      <c r="A38" s="21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6">
      <c r="A39" s="27"/>
      <c r="B39" s="27"/>
      <c r="C39" s="25"/>
      <c r="D39" s="25"/>
      <c r="E39" s="25"/>
      <c r="F39" s="25"/>
      <c r="G39" s="27"/>
      <c r="H39" s="27"/>
      <c r="I39" s="27"/>
      <c r="J39" s="27"/>
      <c r="K39" s="27"/>
      <c r="L39" s="27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6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6"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6"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6"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6"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6"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6"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6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6"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2:22"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2:22"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2:22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2:22"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2:22"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2:22"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2:22"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</sheetData>
  <sheetProtection objects="1" scenarios="1"/>
  <mergeCells count="1">
    <mergeCell ref="N8:N9"/>
  </mergeCells>
  <phoneticPr fontId="44"/>
  <pageMargins left="0.2" right="0.19685039370078741" top="0.44" bottom="0.46" header="0.27559055118110237" footer="0.31496062992125984"/>
  <pageSetup paperSize="9" scale="85" orientation="landscape" horizontalDpi="4294967292" r:id="rId1"/>
  <headerFooter alignWithMargins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0" r:id="rId4" name="ボタン1">
              <controlPr defaultSize="0" autoFill="0" autoLine="0" autoPict="0" macro="[0]!サイズ1">
                <anchor moveWithCells="1">
                  <from>
                    <xdr:col>1</xdr:col>
                    <xdr:colOff>104775</xdr:colOff>
                    <xdr:row>22</xdr:row>
                    <xdr:rowOff>28575</xdr:rowOff>
                  </from>
                  <to>
                    <xdr:col>1</xdr:col>
                    <xdr:colOff>400050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5" name="ボタン2">
              <controlPr defaultSize="0" autoFill="0" autoLine="0" autoPict="0" macro="[0]!サイズ2">
                <anchor moveWithCells="1">
                  <from>
                    <xdr:col>1</xdr:col>
                    <xdr:colOff>104775</xdr:colOff>
                    <xdr:row>23</xdr:row>
                    <xdr:rowOff>9525</xdr:rowOff>
                  </from>
                  <to>
                    <xdr:col>1</xdr:col>
                    <xdr:colOff>400050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6" name="ボタン3">
              <controlPr defaultSize="0" autoFill="0" autoLine="0" autoPict="0" macro="[0]!サイズ3">
                <anchor moveWithCells="1">
                  <from>
                    <xdr:col>1</xdr:col>
                    <xdr:colOff>104775</xdr:colOff>
                    <xdr:row>24</xdr:row>
                    <xdr:rowOff>9525</xdr:rowOff>
                  </from>
                  <to>
                    <xdr:col>1</xdr:col>
                    <xdr:colOff>400050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7" name="ボタン4">
              <controlPr defaultSize="0" autoFill="0" autoLine="0" autoPict="0" macro="[0]!サイズ4">
                <anchor moveWithCells="1">
                  <from>
                    <xdr:col>1</xdr:col>
                    <xdr:colOff>104775</xdr:colOff>
                    <xdr:row>25</xdr:row>
                    <xdr:rowOff>19050</xdr:rowOff>
                  </from>
                  <to>
                    <xdr:col>1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8" name="ボタン5">
              <controlPr defaultSize="0" autoFill="0" autoLine="0" autoPict="0" macro="[0]!サイズ5">
                <anchor moveWithCells="1">
                  <from>
                    <xdr:col>1</xdr:col>
                    <xdr:colOff>104775</xdr:colOff>
                    <xdr:row>26</xdr:row>
                    <xdr:rowOff>28575</xdr:rowOff>
                  </from>
                  <to>
                    <xdr:col>1</xdr:col>
                    <xdr:colOff>400050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9" name="ボタン6">
              <controlPr defaultSize="0" autoFill="0" autoLine="0" autoPict="0" macro="[0]!サイズ6">
                <anchor moveWithCells="1">
                  <from>
                    <xdr:col>1</xdr:col>
                    <xdr:colOff>104775</xdr:colOff>
                    <xdr:row>27</xdr:row>
                    <xdr:rowOff>28575</xdr:rowOff>
                  </from>
                  <to>
                    <xdr:col>1</xdr:col>
                    <xdr:colOff>400050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10" name="ボタン7">
              <controlPr defaultSize="0" autoFill="0" autoLine="0" autoPict="0" macro="[0]!サイズ7">
                <anchor moveWithCells="1">
                  <from>
                    <xdr:col>1</xdr:col>
                    <xdr:colOff>104775</xdr:colOff>
                    <xdr:row>28</xdr:row>
                    <xdr:rowOff>28575</xdr:rowOff>
                  </from>
                  <to>
                    <xdr:col>1</xdr:col>
                    <xdr:colOff>400050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11" name="ボタン8">
              <controlPr defaultSize="0" autoFill="0" autoLine="0" autoPict="0" macro="[0]!サイズ8">
                <anchor moveWithCells="1">
                  <from>
                    <xdr:col>1</xdr:col>
                    <xdr:colOff>104775</xdr:colOff>
                    <xdr:row>29</xdr:row>
                    <xdr:rowOff>19050</xdr:rowOff>
                  </from>
                  <to>
                    <xdr:col>1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2" name="Button 114">
              <controlPr defaultSize="0" print="0" autoFill="0" autoLine="0" autoPict="0" macro="[0]!'[マクロ2].管理規格'">
                <anchor>
                  <from>
                    <xdr:col>7</xdr:col>
                    <xdr:colOff>904875</xdr:colOff>
                    <xdr:row>2</xdr:row>
                    <xdr:rowOff>190500</xdr:rowOff>
                  </from>
                  <to>
                    <xdr:col>9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3" name="公差ボタン">
              <controlPr defaultSize="0" print="0" autoFill="0" autoLine="0" autoPict="0">
                <anchor>
                  <from>
                    <xdr:col>6</xdr:col>
                    <xdr:colOff>219075</xdr:colOff>
                    <xdr:row>2</xdr:row>
                    <xdr:rowOff>190500</xdr:rowOff>
                  </from>
                  <to>
                    <xdr:col>6</xdr:col>
                    <xdr:colOff>1152525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4" name="Button 148">
              <controlPr defaultSize="0" print="0" autoFill="0" autoLine="0" autoPict="0" macro="[0]!軸径限界値">
                <anchor>
                  <from>
                    <xdr:col>6</xdr:col>
                    <xdr:colOff>1247775</xdr:colOff>
                    <xdr:row>2</xdr:row>
                    <xdr:rowOff>190500</xdr:rowOff>
                  </from>
                  <to>
                    <xdr:col>7</xdr:col>
                    <xdr:colOff>809625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" name="Button 149">
              <controlPr defaultSize="0" print="0" autoFill="0" autoLine="0" autoPict="0" macro="[0]!サイズ指定">
                <anchor>
                  <from>
                    <xdr:col>4</xdr:col>
                    <xdr:colOff>457200</xdr:colOff>
                    <xdr:row>2</xdr:row>
                    <xdr:rowOff>190500</xdr:rowOff>
                  </from>
                  <to>
                    <xdr:col>6</xdr:col>
                    <xdr:colOff>114300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6" name="Group Box 151">
              <controlPr defaultSize="0" autoPict="0">
                <anchor>
                  <from>
                    <xdr:col>4</xdr:col>
                    <xdr:colOff>371475</xdr:colOff>
                    <xdr:row>1</xdr:row>
                    <xdr:rowOff>876300</xdr:rowOff>
                  </from>
                  <to>
                    <xdr:col>9</xdr:col>
                    <xdr:colOff>666750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7" name="外作">
              <controlPr defaultSize="0" disabled="1" autoFill="0" autoLine="0" autoPict="0">
                <anchor>
                  <from>
                    <xdr:col>3</xdr:col>
                    <xdr:colOff>85725</xdr:colOff>
                    <xdr:row>4</xdr:row>
                    <xdr:rowOff>9525</xdr:rowOff>
                  </from>
                  <to>
                    <xdr:col>4</xdr:col>
                    <xdr:colOff>47625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8" name="前後">
              <controlPr defaultSize="0" disabled="1" autoFill="0" autoLine="0" autoPict="0" macro="[0]!外作検索">
                <anchor>
                  <from>
                    <xdr:col>2</xdr:col>
                    <xdr:colOff>438150</xdr:colOff>
                    <xdr:row>4</xdr:row>
                    <xdr:rowOff>19050</xdr:rowOff>
                  </from>
                  <to>
                    <xdr:col>3</xdr:col>
                    <xdr:colOff>85725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" name="外作選択">
              <controlPr defaultSize="0" print="0" autoFill="0" autoLine="0" autoPict="0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247650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0" name="工程_リスト">
              <controlPr defaultSize="0" disabled="1" autoFill="0" autoLine="0" autoPict="0" macro="[0]!工程NO_select">
                <anchor moveWithCells="1">
                  <from>
                    <xdr:col>1</xdr:col>
                    <xdr:colOff>0</xdr:colOff>
                    <xdr:row>4</xdr:row>
                    <xdr:rowOff>19050</xdr:rowOff>
                  </from>
                  <to>
                    <xdr:col>1</xdr:col>
                    <xdr:colOff>685800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1" name="Button 217">
              <controlPr defaultSize="0" print="0" autoFill="0" autoLine="0" autoPict="0" macro="[0]!工程NO_click">
                <anchor moveWithCells="1">
                  <from>
                    <xdr:col>1</xdr:col>
                    <xdr:colOff>676275</xdr:colOff>
                    <xdr:row>3</xdr:row>
                    <xdr:rowOff>66675</xdr:rowOff>
                  </from>
                  <to>
                    <xdr:col>1</xdr:col>
                    <xdr:colOff>857250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22" name="Button 312">
              <controlPr defaultSize="0" print="0" autoFill="0" autoLine="0" autoPict="0" macro="[0]!確認">
                <anchor moveWithCells="1" sizeWithCells="1">
                  <from>
                    <xdr:col>2</xdr:col>
                    <xdr:colOff>552450</xdr:colOff>
                    <xdr:row>20</xdr:row>
                    <xdr:rowOff>19050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Z10"/>
  <sheetViews>
    <sheetView workbookViewId="0"/>
  </sheetViews>
  <sheetFormatPr defaultRowHeight="11.25"/>
  <cols>
    <col min="1" max="1" width="11.25" style="19" customWidth="1"/>
    <col min="2" max="2" width="11" style="19" customWidth="1"/>
    <col min="3" max="3" width="9" style="19"/>
    <col min="4" max="4" width="9.625" style="19" customWidth="1"/>
    <col min="5" max="5" width="8.125" style="19" customWidth="1"/>
    <col min="6" max="6" width="8.5" style="19" customWidth="1"/>
    <col min="7" max="7" width="5.125" style="19" customWidth="1"/>
    <col min="8" max="8" width="12.25" style="19" customWidth="1"/>
    <col min="9" max="9" width="7.25" style="19" customWidth="1"/>
    <col min="10" max="10" width="9.875" style="19" customWidth="1"/>
    <col min="11" max="11" width="10.75" style="19" customWidth="1"/>
    <col min="12" max="12" width="14.125" style="19" customWidth="1"/>
    <col min="13" max="13" width="17.5" style="19" customWidth="1"/>
    <col min="14" max="14" width="9" style="19"/>
    <col min="15" max="15" width="14.375" style="19" customWidth="1"/>
    <col min="16" max="16" width="16.25" style="19" customWidth="1"/>
    <col min="17" max="17" width="13" style="19" customWidth="1"/>
    <col min="18" max="18" width="16.125" style="19" customWidth="1"/>
    <col min="19" max="16384" width="9" style="19"/>
  </cols>
  <sheetData>
    <row r="1" spans="1:52" ht="13.5">
      <c r="A1" s="359" t="s">
        <v>235</v>
      </c>
      <c r="B1" s="359" t="s">
        <v>236</v>
      </c>
      <c r="C1" s="359" t="s">
        <v>237</v>
      </c>
      <c r="D1" s="359" t="s">
        <v>238</v>
      </c>
      <c r="E1" s="359" t="s">
        <v>239</v>
      </c>
      <c r="F1" s="359" t="s">
        <v>240</v>
      </c>
      <c r="G1" s="359">
        <v>2</v>
      </c>
      <c r="H1" s="359" t="s">
        <v>241</v>
      </c>
      <c r="I1" s="359"/>
      <c r="J1" s="359"/>
      <c r="K1" s="359">
        <v>9149</v>
      </c>
      <c r="L1" s="359">
        <v>42</v>
      </c>
      <c r="M1" s="359" t="s">
        <v>242</v>
      </c>
      <c r="N1" s="359">
        <v>9149</v>
      </c>
      <c r="O1" s="359"/>
      <c r="P1" s="359"/>
      <c r="Q1" s="359"/>
      <c r="R1" s="359"/>
      <c r="S1" s="359"/>
      <c r="T1" s="359"/>
      <c r="U1" s="359"/>
      <c r="V1" s="359"/>
      <c r="W1" s="359"/>
      <c r="X1" s="359"/>
      <c r="Y1" s="359"/>
      <c r="Z1" s="359"/>
      <c r="AA1" s="359"/>
      <c r="AB1" s="359"/>
      <c r="AC1" s="359"/>
      <c r="AD1" s="359"/>
      <c r="AE1" s="359"/>
      <c r="AF1" s="359"/>
      <c r="AG1" s="359"/>
      <c r="AH1" s="359"/>
      <c r="AI1" s="359"/>
      <c r="AJ1" s="359"/>
      <c r="AK1" s="359"/>
      <c r="AL1" s="359"/>
      <c r="AM1" s="359"/>
      <c r="AN1" s="359"/>
      <c r="AO1" s="359"/>
      <c r="AP1" s="359"/>
      <c r="AQ1" s="359"/>
      <c r="AR1" s="359"/>
      <c r="AS1" s="359"/>
      <c r="AT1" s="359"/>
      <c r="AU1" s="359"/>
      <c r="AV1" s="359"/>
      <c r="AW1" s="359"/>
      <c r="AX1" s="359"/>
      <c r="AY1" s="359"/>
      <c r="AZ1" s="359"/>
    </row>
    <row r="2" spans="1:52" ht="13.5">
      <c r="A2" s="359" t="s">
        <v>243</v>
      </c>
      <c r="B2" s="359" t="s">
        <v>244</v>
      </c>
      <c r="C2" s="359" t="s">
        <v>245</v>
      </c>
      <c r="D2" s="359" t="s">
        <v>246</v>
      </c>
      <c r="E2" s="359" t="s">
        <v>247</v>
      </c>
      <c r="F2" s="359" t="s">
        <v>248</v>
      </c>
      <c r="G2" s="359" t="s">
        <v>249</v>
      </c>
      <c r="H2" s="359" t="s">
        <v>250</v>
      </c>
      <c r="I2" s="359" t="s">
        <v>251</v>
      </c>
      <c r="J2" s="359" t="s">
        <v>252</v>
      </c>
      <c r="K2" s="359" t="s">
        <v>253</v>
      </c>
      <c r="L2" s="359" t="s">
        <v>254</v>
      </c>
      <c r="M2" s="359" t="s">
        <v>255</v>
      </c>
      <c r="N2" s="359" t="s">
        <v>256</v>
      </c>
      <c r="O2" s="359" t="s">
        <v>257</v>
      </c>
      <c r="P2" s="359" t="s">
        <v>258</v>
      </c>
      <c r="Q2" s="359" t="s">
        <v>259</v>
      </c>
      <c r="R2" s="359" t="s">
        <v>260</v>
      </c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359"/>
      <c r="AK2" s="359"/>
      <c r="AL2" s="359"/>
      <c r="AM2" s="359"/>
      <c r="AN2" s="359"/>
      <c r="AO2" s="359"/>
      <c r="AP2" s="359"/>
      <c r="AQ2" s="359"/>
      <c r="AR2" s="359"/>
      <c r="AS2" s="359"/>
      <c r="AT2" s="359"/>
      <c r="AU2" s="359"/>
      <c r="AV2" s="359"/>
      <c r="AW2" s="359"/>
      <c r="AX2" s="359"/>
      <c r="AY2" s="359"/>
      <c r="AZ2" s="359"/>
    </row>
    <row r="3" spans="1:52" ht="13.5">
      <c r="A3" s="359">
        <v>2.5</v>
      </c>
      <c r="B3" s="359">
        <v>20</v>
      </c>
      <c r="C3" s="359">
        <v>22</v>
      </c>
      <c r="D3" s="359">
        <v>9.14</v>
      </c>
      <c r="E3" s="359" t="s">
        <v>261</v>
      </c>
      <c r="F3" s="359"/>
      <c r="G3" s="359"/>
      <c r="H3" s="359" t="s">
        <v>262</v>
      </c>
      <c r="I3" s="359">
        <v>27.89</v>
      </c>
      <c r="J3" s="359">
        <v>0</v>
      </c>
      <c r="K3" s="359">
        <v>-0.04</v>
      </c>
      <c r="L3" s="359">
        <v>4</v>
      </c>
      <c r="M3" s="359" t="s">
        <v>263</v>
      </c>
      <c r="N3" s="359" t="s">
        <v>264</v>
      </c>
      <c r="O3" s="359">
        <v>30.85</v>
      </c>
      <c r="P3" s="359"/>
      <c r="Q3" s="359"/>
      <c r="R3" s="359">
        <v>62.9</v>
      </c>
      <c r="S3" s="359"/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</row>
    <row r="4" spans="1:52" ht="13.5">
      <c r="A4" s="359" t="s">
        <v>265</v>
      </c>
      <c r="B4" s="359" t="s">
        <v>118</v>
      </c>
      <c r="C4" s="359"/>
      <c r="D4" s="359"/>
      <c r="E4" s="359"/>
      <c r="F4" s="359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359"/>
      <c r="Y4" s="359"/>
      <c r="Z4" s="359"/>
      <c r="AA4" s="359"/>
      <c r="AB4" s="359"/>
      <c r="AC4" s="359"/>
      <c r="AD4" s="359"/>
      <c r="AE4" s="359"/>
      <c r="AF4" s="359"/>
      <c r="AG4" s="359"/>
      <c r="AH4" s="359"/>
      <c r="AI4" s="359"/>
      <c r="AJ4" s="359"/>
      <c r="AK4" s="359"/>
      <c r="AL4" s="359"/>
      <c r="AM4" s="359"/>
      <c r="AN4" s="359"/>
      <c r="AO4" s="359"/>
      <c r="AP4" s="359"/>
      <c r="AQ4" s="359"/>
      <c r="AR4" s="359"/>
      <c r="AS4" s="359"/>
      <c r="AT4" s="359"/>
      <c r="AU4" s="359"/>
      <c r="AV4" s="359"/>
      <c r="AW4" s="359"/>
      <c r="AX4" s="359"/>
      <c r="AY4" s="359"/>
      <c r="AZ4" s="359"/>
    </row>
    <row r="5" spans="1:52" ht="13.5">
      <c r="A5" s="359" t="s">
        <v>266</v>
      </c>
      <c r="B5" s="359" t="s">
        <v>267</v>
      </c>
      <c r="C5" s="359"/>
      <c r="D5" s="359"/>
      <c r="E5" s="359"/>
      <c r="F5" s="359"/>
      <c r="G5" s="359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59"/>
      <c r="AJ5" s="359"/>
      <c r="AK5" s="359"/>
      <c r="AL5" s="359"/>
      <c r="AM5" s="359"/>
      <c r="AN5" s="359"/>
      <c r="AO5" s="359"/>
      <c r="AP5" s="359"/>
      <c r="AQ5" s="359"/>
      <c r="AR5" s="359"/>
      <c r="AS5" s="359"/>
      <c r="AT5" s="359"/>
      <c r="AU5" s="359"/>
      <c r="AV5" s="359"/>
      <c r="AW5" s="359"/>
      <c r="AX5" s="359"/>
      <c r="AY5" s="359"/>
      <c r="AZ5" s="359"/>
    </row>
    <row r="6" spans="1:52" ht="13.5">
      <c r="A6" s="359" t="s">
        <v>268</v>
      </c>
      <c r="B6" s="359" t="s">
        <v>269</v>
      </c>
      <c r="C6" s="359"/>
      <c r="D6" s="359" t="s">
        <v>270</v>
      </c>
      <c r="E6" s="359"/>
      <c r="F6" s="359" t="s">
        <v>271</v>
      </c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59"/>
      <c r="AP6" s="359"/>
      <c r="AQ6" s="359"/>
      <c r="AR6" s="359"/>
      <c r="AS6" s="359"/>
      <c r="AT6" s="359"/>
      <c r="AU6" s="359"/>
      <c r="AV6" s="359"/>
      <c r="AW6" s="359"/>
      <c r="AX6" s="359"/>
      <c r="AY6" s="359"/>
      <c r="AZ6" s="359"/>
    </row>
    <row r="7" spans="1:52" ht="13.5">
      <c r="A7" s="359"/>
      <c r="B7" s="359"/>
      <c r="C7" s="359"/>
      <c r="D7" s="359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9"/>
      <c r="AJ7" s="359"/>
      <c r="AK7" s="359"/>
      <c r="AL7" s="359"/>
      <c r="AM7" s="359"/>
      <c r="AN7" s="359"/>
      <c r="AO7" s="359"/>
      <c r="AP7" s="359"/>
      <c r="AQ7" s="359"/>
      <c r="AR7" s="359"/>
      <c r="AS7" s="359"/>
      <c r="AT7" s="359"/>
      <c r="AU7" s="359"/>
      <c r="AV7" s="359"/>
      <c r="AW7" s="359"/>
      <c r="AX7" s="359"/>
      <c r="AY7" s="359"/>
      <c r="AZ7" s="359"/>
    </row>
    <row r="8" spans="1:52" ht="13.5">
      <c r="A8" s="359"/>
      <c r="B8" s="359"/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9"/>
      <c r="Q8" s="359"/>
      <c r="R8" s="359"/>
      <c r="S8" s="359"/>
      <c r="T8" s="359"/>
      <c r="U8" s="359"/>
      <c r="V8" s="359"/>
      <c r="W8" s="359"/>
      <c r="X8" s="359"/>
      <c r="Y8" s="359"/>
      <c r="Z8" s="359"/>
      <c r="AA8" s="359"/>
      <c r="AB8" s="359"/>
      <c r="AC8" s="359"/>
      <c r="AD8" s="359"/>
      <c r="AE8" s="359"/>
      <c r="AF8" s="359"/>
      <c r="AG8" s="359"/>
      <c r="AH8" s="359"/>
      <c r="AI8" s="359"/>
      <c r="AJ8" s="359"/>
      <c r="AK8" s="359"/>
      <c r="AL8" s="359"/>
      <c r="AM8" s="359"/>
      <c r="AN8" s="359"/>
      <c r="AO8" s="359"/>
      <c r="AP8" s="359"/>
      <c r="AQ8" s="359"/>
      <c r="AR8" s="359"/>
      <c r="AS8" s="359"/>
      <c r="AT8" s="359"/>
      <c r="AU8" s="359"/>
      <c r="AV8" s="359"/>
      <c r="AW8" s="359"/>
      <c r="AX8" s="359"/>
      <c r="AY8" s="359"/>
      <c r="AZ8" s="359"/>
    </row>
    <row r="9" spans="1:52" ht="13.5">
      <c r="A9" s="359"/>
      <c r="B9" s="359"/>
      <c r="C9" s="359"/>
      <c r="D9" s="359"/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9"/>
      <c r="T9" s="359"/>
      <c r="U9" s="359"/>
      <c r="V9" s="359"/>
      <c r="W9" s="359"/>
      <c r="X9" s="359"/>
      <c r="Y9" s="359"/>
      <c r="Z9" s="359"/>
      <c r="AA9" s="359"/>
      <c r="AB9" s="359"/>
      <c r="AC9" s="359"/>
      <c r="AD9" s="359"/>
      <c r="AE9" s="359"/>
      <c r="AF9" s="359"/>
      <c r="AG9" s="359"/>
      <c r="AH9" s="359"/>
      <c r="AI9" s="359"/>
      <c r="AJ9" s="359"/>
      <c r="AK9" s="359"/>
      <c r="AL9" s="359"/>
      <c r="AM9" s="359"/>
      <c r="AN9" s="359"/>
      <c r="AO9" s="359"/>
      <c r="AP9" s="359"/>
      <c r="AQ9" s="359"/>
      <c r="AR9" s="359"/>
      <c r="AS9" s="359"/>
      <c r="AT9" s="359"/>
      <c r="AU9" s="359"/>
      <c r="AV9" s="359"/>
      <c r="AW9" s="359"/>
      <c r="AX9" s="359"/>
      <c r="AY9" s="359"/>
      <c r="AZ9" s="359"/>
    </row>
    <row r="10" spans="1:52" ht="13.5">
      <c r="A10" s="359"/>
      <c r="B10" s="359"/>
      <c r="C10" s="359"/>
      <c r="D10" s="359"/>
      <c r="E10" s="359"/>
      <c r="F10" s="359"/>
      <c r="G10" s="359"/>
      <c r="H10" s="359"/>
      <c r="I10" s="359"/>
      <c r="J10" s="359"/>
      <c r="K10" s="359"/>
      <c r="L10" s="359"/>
      <c r="M10" s="359"/>
      <c r="N10" s="359"/>
      <c r="O10" s="359"/>
      <c r="P10" s="359"/>
      <c r="Q10" s="359"/>
      <c r="R10" s="359"/>
      <c r="S10" s="359"/>
      <c r="T10" s="359"/>
      <c r="U10" s="359"/>
      <c r="V10" s="359"/>
      <c r="W10" s="359"/>
      <c r="X10" s="359"/>
      <c r="Y10" s="359"/>
      <c r="Z10" s="359"/>
      <c r="AA10" s="359"/>
      <c r="AB10" s="359"/>
      <c r="AC10" s="359"/>
      <c r="AD10" s="359"/>
      <c r="AE10" s="359"/>
      <c r="AF10" s="359"/>
      <c r="AG10" s="359"/>
      <c r="AH10" s="359"/>
      <c r="AI10" s="359"/>
      <c r="AJ10" s="359"/>
      <c r="AK10" s="359"/>
      <c r="AL10" s="359"/>
      <c r="AM10" s="359"/>
      <c r="AN10" s="359"/>
      <c r="AO10" s="359"/>
      <c r="AP10" s="359"/>
      <c r="AQ10" s="359"/>
      <c r="AR10" s="359"/>
      <c r="AS10" s="359"/>
      <c r="AT10" s="359"/>
      <c r="AU10" s="359"/>
      <c r="AV10" s="359"/>
      <c r="AW10" s="359"/>
      <c r="AX10" s="359"/>
      <c r="AY10" s="359"/>
      <c r="AZ10" s="359"/>
    </row>
  </sheetData>
  <phoneticPr fontId="44"/>
  <printOptions gridLines="1"/>
  <pageMargins left="0.78740157480314965" right="0.78740157480314965" top="0.98425196850393704" bottom="0.98425196850393704" header="0.51181102362204722" footer="0.51181102362204722"/>
  <pageSetup paperSize="9" orientation="landscape" horizontalDpi="4294967292" verticalDpi="0" r:id="rId1"/>
  <headerFooter alignWithMargins="0">
    <oddHeader>&amp;A</oddHeader>
    <oddFooter>- &amp;P -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39"/>
  <sheetViews>
    <sheetView showRowColHeaders="0" workbookViewId="0">
      <selection activeCell="G3" sqref="G3"/>
    </sheetView>
  </sheetViews>
  <sheetFormatPr defaultRowHeight="13.5"/>
  <cols>
    <col min="2" max="2" width="8.125" customWidth="1"/>
    <col min="3" max="3" width="7.5" customWidth="1"/>
    <col min="4" max="4" width="6.5" customWidth="1"/>
    <col min="5" max="5" width="7.875" customWidth="1"/>
    <col min="6" max="6" width="10.5" customWidth="1"/>
    <col min="7" max="11" width="10.625" customWidth="1"/>
    <col min="12" max="12" width="8.375" customWidth="1"/>
    <col min="33" max="33" width="20.25" customWidth="1"/>
  </cols>
  <sheetData>
    <row r="1" spans="1:33">
      <c r="A1" s="25"/>
      <c r="B1" s="25"/>
      <c r="C1" s="25"/>
      <c r="D1" s="25"/>
      <c r="E1" s="128"/>
      <c r="F1" s="25"/>
      <c r="G1" s="25"/>
      <c r="H1" s="129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</row>
    <row r="2" spans="1:33">
      <c r="A2" s="25"/>
      <c r="B2" s="25"/>
      <c r="C2" s="25"/>
      <c r="D2" s="25"/>
      <c r="E2" s="25"/>
      <c r="F2" s="25"/>
      <c r="G2" s="137" t="s">
        <v>125</v>
      </c>
      <c r="H2" s="157"/>
      <c r="I2" s="157"/>
      <c r="J2" s="158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</row>
    <row r="3" spans="1:33">
      <c r="A3" s="25"/>
      <c r="B3" s="131"/>
      <c r="C3" s="132"/>
      <c r="D3" s="25"/>
      <c r="E3" s="137" t="s">
        <v>126</v>
      </c>
      <c r="F3" s="137" t="s">
        <v>127</v>
      </c>
      <c r="G3" s="127"/>
      <c r="H3" s="166" t="s">
        <v>128</v>
      </c>
      <c r="I3" s="164"/>
      <c r="J3" s="165"/>
      <c r="K3" s="137" t="s">
        <v>129</v>
      </c>
      <c r="L3" s="138" t="s">
        <v>130</v>
      </c>
      <c r="M3" s="137" t="s">
        <v>131</v>
      </c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</row>
    <row r="4" spans="1:33">
      <c r="A4" s="25"/>
      <c r="B4" s="137" t="s">
        <v>132</v>
      </c>
      <c r="C4" s="161">
        <f>入力ｼｰﾄ!H7</f>
        <v>2.5</v>
      </c>
      <c r="D4" s="133"/>
      <c r="E4" s="135">
        <f>IF(入力ｼｰﾄ!C15="マタギ枚数",入力ｼｰﾄ!D15,0)</f>
        <v>4</v>
      </c>
      <c r="F4" s="126">
        <f>IF(貼付けｼｰﾄ!H3="M",入力ｼｰﾄ!D7+入力ｼｰﾄ!D9-0.02,0)</f>
        <v>27.830000000000002</v>
      </c>
      <c r="G4" s="179">
        <f>IF(MOD($C$5,2)&gt;0,ROUNDDOWN($G$15*COS(90/$C$5*PI()/180)+$G$3,3),ROUNDDOWN($G$15+$G$3,3))</f>
        <v>51.683</v>
      </c>
      <c r="H4" s="180" t="str">
        <f>CONCATENATE(FIXED(G4,3,)," を越え ", FIXED(G5,3,)," 以下")</f>
        <v>51.683 を越え 51.683 以下</v>
      </c>
      <c r="I4" s="180"/>
      <c r="J4" s="180"/>
      <c r="K4" s="178">
        <f>E13</f>
        <v>0.71840521740809937</v>
      </c>
      <c r="L4" s="179">
        <f>K25</f>
        <v>5.2915441375030161</v>
      </c>
      <c r="M4" s="181">
        <f t="shared" ref="M4:M11" si="0">K4*$C$4</f>
        <v>1.7960130435202484</v>
      </c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t="str">
        <f>CONCATENATE(FIXED(F4,2,)," を越え ", FIXED(F5,2,)," 以下")</f>
        <v>27.83 を越え 27.84 以下</v>
      </c>
    </row>
    <row r="5" spans="1:33">
      <c r="A5" s="25"/>
      <c r="B5" s="137" t="s">
        <v>100</v>
      </c>
      <c r="C5" s="159">
        <f>入力ｼｰﾄ!H9</f>
        <v>22</v>
      </c>
      <c r="D5" s="133"/>
      <c r="E5" s="184">
        <f t="shared" ref="E5:E11" si="1">E4</f>
        <v>4</v>
      </c>
      <c r="F5" s="185">
        <f>F4+C9</f>
        <v>27.840000000000003</v>
      </c>
      <c r="G5" s="179">
        <f>IF(MOD($C$5,2)&gt;0,ROUNDDOWN($J$15*COS(90/$C$5*PI()/180)+$G$3,3),ROUNDDOWN($J$15+$G$3,3))</f>
        <v>51.683</v>
      </c>
      <c r="H5" s="180" t="str">
        <f t="shared" ref="H5:H11" si="2">CONCATENATE(FIXED(G5,3,)," を越え ", FIXED(G6,3,)," 以下")</f>
        <v>51.683 を越え 51.683 以下</v>
      </c>
      <c r="I5" s="180"/>
      <c r="J5" s="180"/>
      <c r="K5" s="178">
        <f>H13</f>
        <v>0.72425282620842646</v>
      </c>
      <c r="L5" s="179">
        <f>L25</f>
        <v>5.3026588038825615</v>
      </c>
      <c r="M5" s="181">
        <f t="shared" si="0"/>
        <v>1.8106320655210661</v>
      </c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t="str">
        <f t="shared" ref="AG5:AG11" si="3">CONCATENATE(FIXED(F5,2,)," を越え ", FIXED(F6,2,)," 以下")</f>
        <v>27.84 を越え 27.85 以下</v>
      </c>
    </row>
    <row r="6" spans="1:33">
      <c r="A6" s="25"/>
      <c r="B6" s="137" t="s">
        <v>97</v>
      </c>
      <c r="C6" s="160">
        <f>入力ｼｰﾄ!H8</f>
        <v>20</v>
      </c>
      <c r="D6" s="133"/>
      <c r="E6" s="184">
        <f t="shared" si="1"/>
        <v>4</v>
      </c>
      <c r="F6" s="185">
        <f>F5+C9</f>
        <v>27.850000000000005</v>
      </c>
      <c r="G6" s="179">
        <f>IF(MOD($C$5,2)&gt;0,ROUNDDOWN($M$15*COS(90/$C$5*PI()/180)+$G$3,3),ROUNDDOWN($M$15+$G$3,3))</f>
        <v>51.683</v>
      </c>
      <c r="H6" s="180" t="str">
        <f t="shared" si="2"/>
        <v>51.683 を越え 51.683 以下</v>
      </c>
      <c r="I6" s="180"/>
      <c r="J6" s="180"/>
      <c r="K6" s="178">
        <f>K13</f>
        <v>0.73010043500875355</v>
      </c>
      <c r="L6" s="179">
        <f>M25</f>
        <v>5.3138233306781162</v>
      </c>
      <c r="M6" s="181">
        <f t="shared" si="0"/>
        <v>1.8252510875218839</v>
      </c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t="str">
        <f t="shared" si="3"/>
        <v>27.85 を越え 27.86 以下</v>
      </c>
    </row>
    <row r="7" spans="1:33">
      <c r="A7" s="25"/>
      <c r="B7" s="25"/>
      <c r="C7" s="134"/>
      <c r="D7" s="133"/>
      <c r="E7" s="184">
        <f t="shared" si="1"/>
        <v>4</v>
      </c>
      <c r="F7" s="185">
        <f>F6+C9</f>
        <v>27.860000000000007</v>
      </c>
      <c r="G7" s="179">
        <f>IF(MOD($C$5,2)&gt;0,ROUNDDOWN($P$15*COS(90/$C$5*PI()/180)+$G$3,3),ROUNDDOWN($P$15+$G$3,3))</f>
        <v>51.683</v>
      </c>
      <c r="H7" s="180" t="str">
        <f t="shared" si="2"/>
        <v>51.683 を越え 51.683 以下</v>
      </c>
      <c r="I7" s="180"/>
      <c r="J7" s="180"/>
      <c r="K7" s="178">
        <f>N13</f>
        <v>0.73594804380908063</v>
      </c>
      <c r="L7" s="179">
        <f>N25</f>
        <v>5.3250377572166201</v>
      </c>
      <c r="M7" s="181">
        <f t="shared" si="0"/>
        <v>1.8398701095227015</v>
      </c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t="str">
        <f t="shared" si="3"/>
        <v>27.86 を越え 27.87 以下</v>
      </c>
    </row>
    <row r="8" spans="1:33">
      <c r="A8" s="25"/>
      <c r="B8" s="139" t="s">
        <v>133</v>
      </c>
      <c r="C8" s="140"/>
      <c r="D8" s="133"/>
      <c r="E8" s="184">
        <f t="shared" si="1"/>
        <v>4</v>
      </c>
      <c r="F8" s="185">
        <f>F7+C9</f>
        <v>27.870000000000008</v>
      </c>
      <c r="G8" s="179">
        <f>IF(MOD($C$5,2)&gt;0,ROUNDDOWN($S$15*COS(90/$C$5*PI()/180)+$G$3,3),ROUNDDOWN($S$15+$G$3,3))</f>
        <v>51.683</v>
      </c>
      <c r="H8" s="180" t="str">
        <f t="shared" si="2"/>
        <v>51.683 を越え 51.683 以下</v>
      </c>
      <c r="I8" s="180"/>
      <c r="J8" s="180"/>
      <c r="K8" s="178">
        <f>Q13</f>
        <v>0.74179565260940772</v>
      </c>
      <c r="L8" s="179">
        <f>O25</f>
        <v>5.3363021232441046</v>
      </c>
      <c r="M8" s="181">
        <f t="shared" si="0"/>
        <v>1.8544891315235192</v>
      </c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t="str">
        <f t="shared" si="3"/>
        <v>27.87 を越え 27.88 以下</v>
      </c>
    </row>
    <row r="9" spans="1:33">
      <c r="A9" s="25"/>
      <c r="B9" s="130"/>
      <c r="C9" s="162">
        <v>0.01</v>
      </c>
      <c r="D9" s="133"/>
      <c r="E9" s="184">
        <f t="shared" si="1"/>
        <v>4</v>
      </c>
      <c r="F9" s="185">
        <f>F8+C9</f>
        <v>27.88000000000001</v>
      </c>
      <c r="G9" s="179">
        <f>IF(MOD($C$5,2)&gt;0,ROUNDDOWN($V$15*COS(90/$C$5*PI()/180)+$G$3,3),ROUNDDOWN($V$15+$G$3,3))</f>
        <v>51.683</v>
      </c>
      <c r="H9" s="180" t="str">
        <f t="shared" si="2"/>
        <v>51.683 を越え 51.683 以下</v>
      </c>
      <c r="I9" s="180"/>
      <c r="J9" s="180"/>
      <c r="K9" s="178">
        <f>T13</f>
        <v>0.74764326140973481</v>
      </c>
      <c r="L9" s="179">
        <f>P25</f>
        <v>5.3476164689234649</v>
      </c>
      <c r="M9" s="181">
        <f t="shared" si="0"/>
        <v>1.869108153524337</v>
      </c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t="str">
        <f t="shared" si="3"/>
        <v>27.88 を越え 27.89 以下</v>
      </c>
    </row>
    <row r="10" spans="1:33">
      <c r="A10" s="25"/>
      <c r="B10" s="25"/>
      <c r="C10" s="134"/>
      <c r="D10" s="133"/>
      <c r="E10" s="184">
        <f t="shared" si="1"/>
        <v>4</v>
      </c>
      <c r="F10" s="185">
        <f>F9+C9</f>
        <v>27.890000000000011</v>
      </c>
      <c r="G10" s="179">
        <f>IF(MOD($C$5,2)&gt;0,ROUNDDOWN($Y$15*COS(90/$C$5*PI()/180)+$G$3,3),ROUNDDOWN($Y$15+$G$3,3))</f>
        <v>51.683</v>
      </c>
      <c r="H10" s="180" t="str">
        <f t="shared" si="2"/>
        <v>51.683 を越え 51.683 以下</v>
      </c>
      <c r="I10" s="180"/>
      <c r="J10" s="180"/>
      <c r="K10" s="178">
        <f>W13</f>
        <v>0.75349087021006189</v>
      </c>
      <c r="L10" s="179">
        <f>Q25</f>
        <v>5.3589808348322787</v>
      </c>
      <c r="M10" s="181">
        <f t="shared" si="0"/>
        <v>1.8837271755251548</v>
      </c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t="str">
        <f t="shared" si="3"/>
        <v>27.89 を越え 27.90 以下</v>
      </c>
    </row>
    <row r="11" spans="1:33">
      <c r="A11" s="25"/>
      <c r="B11" s="25"/>
      <c r="C11" s="25"/>
      <c r="D11" s="25"/>
      <c r="E11" s="184">
        <f t="shared" si="1"/>
        <v>4</v>
      </c>
      <c r="F11" s="185">
        <f>F10+C9</f>
        <v>27.900000000000013</v>
      </c>
      <c r="G11" s="179">
        <f>IF(MOD($C$5,2)&gt;0,ROUNDDOWN($AB$15*COS(90/$C$5*PI()/180)+$G$3,3),ROUNDDOWN($AB$15+$G$3,3))</f>
        <v>51.683</v>
      </c>
      <c r="H11" s="180" t="str">
        <f t="shared" si="2"/>
        <v>51.683 を越え 51.709 以下</v>
      </c>
      <c r="I11" s="180"/>
      <c r="J11" s="180"/>
      <c r="K11" s="182">
        <f>Z13</f>
        <v>0.75933847901038898</v>
      </c>
      <c r="L11" s="183">
        <f>R25</f>
        <v>5.3703952619605717</v>
      </c>
      <c r="M11" s="181">
        <f t="shared" si="0"/>
        <v>1.8983461975259726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t="str">
        <f t="shared" si="3"/>
        <v>27.90 を越え 27.91 以下</v>
      </c>
    </row>
    <row r="12" spans="1:33">
      <c r="A12" s="141"/>
      <c r="B12" s="141"/>
      <c r="C12" s="141"/>
      <c r="D12" s="141"/>
      <c r="E12" s="141" t="s">
        <v>129</v>
      </c>
      <c r="F12" s="169">
        <f>F11+C9</f>
        <v>27.910000000000014</v>
      </c>
      <c r="G12" s="136">
        <f>G11+0.026</f>
        <v>51.709000000000003</v>
      </c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25"/>
      <c r="AE12" s="25"/>
      <c r="AF12" s="25"/>
    </row>
    <row r="13" spans="1:33" ht="27" customHeight="1">
      <c r="A13" s="141"/>
      <c r="B13" s="141"/>
      <c r="C13" s="141"/>
      <c r="D13" s="141"/>
      <c r="E13" s="154">
        <f>($F$4-$C$4*$C$15*(PI()*($E$4-0.5)+$C$5*$C$18))/(2*$C$4*$C$16)</f>
        <v>0.71840521740809937</v>
      </c>
      <c r="F13" s="148"/>
      <c r="G13" s="153"/>
      <c r="H13" s="148">
        <f>($F$5-$C$4*$C$15*(PI()*($E$5-0.5)+$C$5*$C$18))/(2*$C$4*$C$16)</f>
        <v>0.72425282620842646</v>
      </c>
      <c r="I13" s="148"/>
      <c r="J13" s="153"/>
      <c r="K13" s="148">
        <f>($F$6-$C$4*$C$15*(PI()*($E$6-0.5)+$C$5*$C$18))/(2*$C$4*$C$16)</f>
        <v>0.73010043500875355</v>
      </c>
      <c r="L13" s="148"/>
      <c r="M13" s="153"/>
      <c r="N13" s="148">
        <f>($F$7-$C$4*$C$15*(PI()*($E$7-0.5)+$C$5*$C$18))/(2*$C$4*$C$16)</f>
        <v>0.73594804380908063</v>
      </c>
      <c r="O13" s="148"/>
      <c r="P13" s="153"/>
      <c r="Q13" s="148">
        <f>($F$8-$C$4*$C$15*(PI()*($E$8-0.5)+$C$5*$C$18))/(2*$C$4*$C$16)</f>
        <v>0.74179565260940772</v>
      </c>
      <c r="R13" s="148"/>
      <c r="S13" s="153"/>
      <c r="T13" s="148">
        <f>($F$9-$C$4*$C$15*(PI()*($E$9-0.5)+$C$5*$C$18))/(2*$C$4*$C$16)</f>
        <v>0.74764326140973481</v>
      </c>
      <c r="U13" s="148"/>
      <c r="V13" s="153"/>
      <c r="W13" s="148">
        <f>($F$10-$C$4*$C$15*(PI()*($E$10-0.5)+$C$5*$C$18))/(2*$C$4*$C$16)</f>
        <v>0.75349087021006189</v>
      </c>
      <c r="X13" s="148"/>
      <c r="Y13" s="153"/>
      <c r="Z13" s="148">
        <f>($F$11-$C$4*$C$15*(PI()*($E$11-0.5)+$C$5*$C$18))/(2*$C$4*$C$16)</f>
        <v>0.75933847901038898</v>
      </c>
      <c r="AA13" s="148"/>
      <c r="AB13" s="153"/>
      <c r="AC13" s="141"/>
      <c r="AD13" s="25"/>
      <c r="AE13" s="25"/>
      <c r="AF13" s="25"/>
    </row>
    <row r="14" spans="1:33" ht="27">
      <c r="A14" s="141"/>
      <c r="B14" s="146" t="s">
        <v>134</v>
      </c>
      <c r="C14" s="147">
        <f>C6*PI()/180</f>
        <v>0.3490658503988659</v>
      </c>
      <c r="D14" s="147" t="s">
        <v>130</v>
      </c>
      <c r="E14" s="149" t="s">
        <v>135</v>
      </c>
      <c r="F14" s="149" t="s">
        <v>136</v>
      </c>
      <c r="G14" s="150" t="s">
        <v>137</v>
      </c>
      <c r="H14" s="151" t="s">
        <v>135</v>
      </c>
      <c r="I14" s="151" t="s">
        <v>136</v>
      </c>
      <c r="J14" s="152" t="s">
        <v>137</v>
      </c>
      <c r="K14" s="151" t="s">
        <v>135</v>
      </c>
      <c r="L14" s="151" t="s">
        <v>136</v>
      </c>
      <c r="M14" s="152" t="s">
        <v>137</v>
      </c>
      <c r="N14" s="151" t="s">
        <v>135</v>
      </c>
      <c r="O14" s="151" t="s">
        <v>136</v>
      </c>
      <c r="P14" s="152" t="s">
        <v>137</v>
      </c>
      <c r="Q14" s="151" t="s">
        <v>135</v>
      </c>
      <c r="R14" s="151" t="s">
        <v>136</v>
      </c>
      <c r="S14" s="152" t="s">
        <v>137</v>
      </c>
      <c r="T14" s="151" t="s">
        <v>135</v>
      </c>
      <c r="U14" s="151" t="s">
        <v>136</v>
      </c>
      <c r="V14" s="152" t="s">
        <v>137</v>
      </c>
      <c r="W14" s="151" t="s">
        <v>135</v>
      </c>
      <c r="X14" s="151" t="s">
        <v>136</v>
      </c>
      <c r="Y14" s="152" t="s">
        <v>137</v>
      </c>
      <c r="Z14" s="151" t="s">
        <v>135</v>
      </c>
      <c r="AA14" s="151" t="s">
        <v>136</v>
      </c>
      <c r="AB14" s="152" t="s">
        <v>137</v>
      </c>
      <c r="AC14" s="141"/>
      <c r="AD14" s="25"/>
      <c r="AE14" s="25"/>
      <c r="AF14" s="25"/>
    </row>
    <row r="15" spans="1:33">
      <c r="A15" s="141"/>
      <c r="B15" s="144" t="s">
        <v>138</v>
      </c>
      <c r="C15" s="145">
        <f>COS(C14)</f>
        <v>0.93969262078590843</v>
      </c>
      <c r="D15" s="143">
        <f>G3</f>
        <v>0</v>
      </c>
      <c r="E15" s="145">
        <f>$D$15/($C$4*$C$5*$C$15)-PI()/2/$C$5+$C$18+2*$E$13*$C$17/$C$5</f>
        <v>-3.2724711416241767E-2</v>
      </c>
      <c r="F15" s="145">
        <f>TH(E15,0.00000000001)*PI()/180</f>
        <v>0</v>
      </c>
      <c r="G15" s="145">
        <f>$C$5*$C$4*$C$15/COS(F15)</f>
        <v>51.683094143224963</v>
      </c>
      <c r="H15" s="153">
        <f>$D15/($C$4*$C$5*$C$15)-PI()/2/$C$5+$C$18+2*$H$13*$C$17/$C$5</f>
        <v>-3.2531224548518839E-2</v>
      </c>
      <c r="I15" s="153">
        <f>TH(H15,0.00000000001)*PI()/180</f>
        <v>0</v>
      </c>
      <c r="J15" s="153">
        <f>$C$5*$C$4*$C$15/COS(I15)</f>
        <v>51.683094143224963</v>
      </c>
      <c r="K15" s="153">
        <f>$D15/($C$4*$C$5*$C$15)-PI()/2/$C$5+$C$18+2*$K$13*$C$17/$C$5</f>
        <v>-3.2337737680795918E-2</v>
      </c>
      <c r="L15" s="153">
        <f>TH(K15,0.00000000001)*PI()/180</f>
        <v>0</v>
      </c>
      <c r="M15" s="153">
        <f>$C$5*$C$4*$C$15/COS(L15)</f>
        <v>51.683094143224963</v>
      </c>
      <c r="N15" s="153">
        <f>$D15/($C$4*$C$5*$C$15)-PI()/2/$C$5+$C$18+2*$N$13*$C$17/$C$5</f>
        <v>-3.2144250813072997E-2</v>
      </c>
      <c r="O15" s="153">
        <f>TH(N15,0.00000000001)*PI()/180</f>
        <v>0</v>
      </c>
      <c r="P15" s="153">
        <f>$C$5*$C$4*$C$15/COS(O15)</f>
        <v>51.683094143224963</v>
      </c>
      <c r="Q15" s="153">
        <f>$D15/($C$4*$C$5*$C$15)-PI()/2/$C$5+$C$18+2*$Q$13*$C$17/$C$5</f>
        <v>-3.1950763945350076E-2</v>
      </c>
      <c r="R15" s="153">
        <f>TH(Q15,0.00000000001)*PI()/180</f>
        <v>0</v>
      </c>
      <c r="S15" s="153">
        <f>$C$5*$C$4*$C$15/COS(R15)</f>
        <v>51.683094143224963</v>
      </c>
      <c r="T15" s="153">
        <f>$D15/($C$4*$C$5*$C$15)-PI()/2/$C$5+$C$18+2*$T$13*$C$17/$C$5</f>
        <v>-3.1757277077627155E-2</v>
      </c>
      <c r="U15" s="153">
        <f>TH(T15,0.00000000001)*PI()/180</f>
        <v>0</v>
      </c>
      <c r="V15" s="153">
        <f>$C$5*$C$4*$C$15/COS(U15)</f>
        <v>51.683094143224963</v>
      </c>
      <c r="W15" s="153">
        <f>$D15/($C$4*$C$5*$C$15)-PI()/2/$C$5+$C$18+2*$W$13*$C$17/$C$5</f>
        <v>-3.1563790209904227E-2</v>
      </c>
      <c r="X15" s="153">
        <f>TH(W15,0.00000000001)*PI()/180</f>
        <v>0</v>
      </c>
      <c r="Y15" s="153">
        <f>$C$5*$C$4*$C$15/COS(X15)</f>
        <v>51.683094143224963</v>
      </c>
      <c r="Z15" s="153">
        <f>$D15/($C$4*$C$5*$C$15)-PI()/2/$C$5+$C$18+2*$Z$13*$C$17/$C$5</f>
        <v>-3.1370303342181299E-2</v>
      </c>
      <c r="AA15" s="153">
        <f>TH(Z15,0.00000000001)*PI()/180</f>
        <v>0</v>
      </c>
      <c r="AB15" s="153">
        <f>$C$5*$C$4*$C$15/COS(AA15)</f>
        <v>51.683094143224963</v>
      </c>
      <c r="AC15" s="141"/>
      <c r="AD15" s="25"/>
      <c r="AE15" s="25"/>
      <c r="AF15" s="25"/>
    </row>
    <row r="16" spans="1:33">
      <c r="A16" s="141"/>
      <c r="B16" s="144" t="s">
        <v>139</v>
      </c>
      <c r="C16" s="145">
        <f>SIN(C14)</f>
        <v>0.34202014332566871</v>
      </c>
      <c r="D16" s="143" t="str">
        <f>H3</f>
        <v>サイズ表  表記</v>
      </c>
      <c r="E16" s="145" t="e">
        <f>$D$16/($C$4*$C$5*$C$15)-PI()/2/$C$5+$C$18+2*$E$13*$C$17/$C$5</f>
        <v>#VALUE!</v>
      </c>
      <c r="F16" s="145" t="e">
        <f>TH(E16,0.00000000001)*PI()/180</f>
        <v>#VALUE!</v>
      </c>
      <c r="G16" s="145" t="e">
        <f>$C$5*$C$4*$C$15/COS(F16)</f>
        <v>#VALUE!</v>
      </c>
      <c r="H16" s="153" t="e">
        <f>$D16/($C$4*$C$5*$C$15)-PI()/2/$C$5+$C$18+2*$H$13*$C$17/$C$5</f>
        <v>#VALUE!</v>
      </c>
      <c r="I16" s="153" t="e">
        <f>TH(H16,0.00000000001)*PI()/180</f>
        <v>#VALUE!</v>
      </c>
      <c r="J16" s="153" t="e">
        <f>$C$5*$C$4*$C$15/COS(I16)</f>
        <v>#VALUE!</v>
      </c>
      <c r="K16" s="153" t="e">
        <f>$D16/($C$4*$C$5*$C$15)-PI()/2/$C$5+$C$18+2*$K$13*$C$17/$C$5</f>
        <v>#VALUE!</v>
      </c>
      <c r="L16" s="153" t="e">
        <f>TH(K16,0.00000000001)*PI()/180</f>
        <v>#VALUE!</v>
      </c>
      <c r="M16" s="153" t="e">
        <f>$C$5*$C$4*$C$15/COS(L16)</f>
        <v>#VALUE!</v>
      </c>
      <c r="N16" s="153" t="e">
        <f>$D16/($C$4*$C$5*$C$15)-PI()/2/$C$5+$C$18+2*$N$13*$C$17/$C$5</f>
        <v>#VALUE!</v>
      </c>
      <c r="O16" s="153" t="e">
        <f>TH(N16,0.00000000001)*PI()/180</f>
        <v>#VALUE!</v>
      </c>
      <c r="P16" s="153" t="e">
        <f>$C$5*$C$4*$C$15/COS(O16)</f>
        <v>#VALUE!</v>
      </c>
      <c r="Q16" s="153" t="e">
        <f>$D16/($C$4*$C$5*$C$15)-PI()/2/$C$5+$C$18+2*$Q$13*$C$17/$C$5</f>
        <v>#VALUE!</v>
      </c>
      <c r="R16" s="153" t="e">
        <f>TH(Q16,0.00000000001)*PI()/180</f>
        <v>#VALUE!</v>
      </c>
      <c r="S16" s="153" t="e">
        <f>$C$5*$C$4*$C$15/COS(R16)</f>
        <v>#VALUE!</v>
      </c>
      <c r="T16" s="153" t="e">
        <f>$D16/($C$4*$C$5*$C$15)-PI()/2/$C$5+$C$18+2*$T$13*$C$17/$C$5</f>
        <v>#VALUE!</v>
      </c>
      <c r="U16" s="153" t="e">
        <f>TH(T16,0.00000000001)*PI()/180</f>
        <v>#VALUE!</v>
      </c>
      <c r="V16" s="153" t="e">
        <f>$C$5*$C$4*$C$15/COS(U16)</f>
        <v>#VALUE!</v>
      </c>
      <c r="W16" s="153" t="e">
        <f>$D16/($C$4*$C$5*$C$15)-PI()/2/$C$5+$C$18+2*$W$13*$C$17/$C$5</f>
        <v>#VALUE!</v>
      </c>
      <c r="X16" s="153" t="e">
        <f>TH(W16,0.00000000001)*PI()/180</f>
        <v>#VALUE!</v>
      </c>
      <c r="Y16" s="153" t="e">
        <f>$C$5*$C$4*$C$15/COS(X16)</f>
        <v>#VALUE!</v>
      </c>
      <c r="Z16" s="153" t="e">
        <f>$D16/($C$4*$C$5*$C$15)-PI()/2/$C$5+$C$18+2*$Z$13*$C$17/$C$5</f>
        <v>#VALUE!</v>
      </c>
      <c r="AA16" s="153" t="e">
        <f>TH(Z16,0.00000000001)*PI()/180</f>
        <v>#VALUE!</v>
      </c>
      <c r="AB16" s="153" t="e">
        <f>$C$5*$C$4*$C$15/COS(AA16)</f>
        <v>#VALUE!</v>
      </c>
      <c r="AC16" s="141"/>
      <c r="AD16" s="25"/>
      <c r="AE16" s="25"/>
      <c r="AF16" s="25"/>
    </row>
    <row r="17" spans="1:32">
      <c r="A17" s="141"/>
      <c r="B17" s="144" t="s">
        <v>140</v>
      </c>
      <c r="C17" s="145">
        <f>TAN(C14)</f>
        <v>0.36397023426620234</v>
      </c>
      <c r="D17" s="143">
        <f>I3</f>
        <v>0</v>
      </c>
      <c r="E17" s="145">
        <f>$D$17/($C$4*$C$5*$C$15)-PI()/2/$C$5+$C$18+2*$E$13*$C$17/$C$5</f>
        <v>-3.2724711416241767E-2</v>
      </c>
      <c r="F17" s="145">
        <f>TH(E17,0.00000000001)*PI()/180</f>
        <v>0</v>
      </c>
      <c r="G17" s="145">
        <f>$C$5*$C$4*$C$15/COS(F17)</f>
        <v>51.683094143224963</v>
      </c>
      <c r="H17" s="153">
        <f>$D17/($C$4*$C$5*$C$15)-PI()/2/$C$5+$C$18+2*$H$13*$C$17/$C$5</f>
        <v>-3.2531224548518839E-2</v>
      </c>
      <c r="I17" s="153">
        <f>TH(H17,0.00000000001)*PI()/180</f>
        <v>0</v>
      </c>
      <c r="J17" s="153">
        <f>$C$5*$C$4*$C$15/COS(I17)</f>
        <v>51.683094143224963</v>
      </c>
      <c r="K17" s="153">
        <f>$D17/($C$4*$C$5*$C$15)-PI()/2/$C$5+$C$18+2*$K$13*$C$17/$C$5</f>
        <v>-3.2337737680795918E-2</v>
      </c>
      <c r="L17" s="153">
        <f>TH(K17,0.00000000001)*PI()/180</f>
        <v>0</v>
      </c>
      <c r="M17" s="153">
        <f>$C$5*$C$4*$C$15/COS(L17)</f>
        <v>51.683094143224963</v>
      </c>
      <c r="N17" s="153">
        <f>$D17/($C$4*$C$5*$C$15)-PI()/2/$C$5+$C$18+2*$N$13*$C$17/$C$5</f>
        <v>-3.2144250813072997E-2</v>
      </c>
      <c r="O17" s="153">
        <f>TH(N17,0.00000000001)*PI()/180</f>
        <v>0</v>
      </c>
      <c r="P17" s="153">
        <f>$C$5*$C$4*$C$15/COS(O17)</f>
        <v>51.683094143224963</v>
      </c>
      <c r="Q17" s="153">
        <f>$D17/($C$4*$C$5*$C$15)-PI()/2/$C$5+$C$18+2*$Q$13*$C$17/$C$5</f>
        <v>-3.1950763945350076E-2</v>
      </c>
      <c r="R17" s="153">
        <f>TH(Q17,0.00000000001)*PI()/180</f>
        <v>0</v>
      </c>
      <c r="S17" s="153">
        <f>$C$5*$C$4*$C$15/COS(R17)</f>
        <v>51.683094143224963</v>
      </c>
      <c r="T17" s="153">
        <f>$D17/($C$4*$C$5*$C$15)-PI()/2/$C$5+$C$18+2*$T$13*$C$17/$C$5</f>
        <v>-3.1757277077627155E-2</v>
      </c>
      <c r="U17" s="153">
        <f>TH(T17,0.00000000001)*PI()/180</f>
        <v>0</v>
      </c>
      <c r="V17" s="153">
        <f>$C$5*$C$4*$C$15/COS(U17)</f>
        <v>51.683094143224963</v>
      </c>
      <c r="W17" s="153">
        <f>$D17/($C$4*$C$5*$C$15)-PI()/2/$C$5+$C$18+2*$W$13*$C$17/$C$5</f>
        <v>-3.1563790209904227E-2</v>
      </c>
      <c r="X17" s="153">
        <f>TH(W17,0.00000000001)*PI()/180</f>
        <v>0</v>
      </c>
      <c r="Y17" s="153">
        <f>$C$5*$C$4*$C$15/COS(X17)</f>
        <v>51.683094143224963</v>
      </c>
      <c r="Z17" s="153">
        <f>$D17/($C$4*$C$5*$C$15)-PI()/2/$C$5+$C$18+2*$Z$13*$C$17/$C$5</f>
        <v>-3.1370303342181299E-2</v>
      </c>
      <c r="AA17" s="153">
        <f>TH(Z17,0.00000000001)*PI()/180</f>
        <v>0</v>
      </c>
      <c r="AB17" s="153">
        <f>$C$5*$C$4*$C$15/COS(AA17)</f>
        <v>51.683094143224963</v>
      </c>
      <c r="AC17" s="141"/>
      <c r="AD17" s="25"/>
      <c r="AE17" s="25"/>
      <c r="AF17" s="25"/>
    </row>
    <row r="18" spans="1:32">
      <c r="A18" s="141"/>
      <c r="B18" s="144" t="s">
        <v>141</v>
      </c>
      <c r="C18" s="145">
        <f>C17-C14</f>
        <v>1.4904383867336446E-2</v>
      </c>
      <c r="D18" s="143">
        <f>J3</f>
        <v>0</v>
      </c>
      <c r="E18" s="145">
        <f>$D$18/($C$4*$C$5*$C$15)-PI()/2/$C$5+$C$18+2*$E$13*$C$17/$C$5</f>
        <v>-3.2724711416241767E-2</v>
      </c>
      <c r="F18" s="145">
        <f>TH(E18,0.00000000001)*PI()/180</f>
        <v>0</v>
      </c>
      <c r="G18" s="145">
        <f>$C$5*$C$4*$C$15/COS(F18)</f>
        <v>51.683094143224963</v>
      </c>
      <c r="H18" s="153">
        <f>$D18/($C$4*$C$5*$C$15)-PI()/2/$C$5+$C$18+2*$H$13*$C$17/$C$5</f>
        <v>-3.2531224548518839E-2</v>
      </c>
      <c r="I18" s="153">
        <f>TH(H18,0.00000000001)*PI()/180</f>
        <v>0</v>
      </c>
      <c r="J18" s="153">
        <f>$C$5*$C$4*$C$15/COS(I18)</f>
        <v>51.683094143224963</v>
      </c>
      <c r="K18" s="153">
        <f>$D18/($C$4*$C$5*$C$15)-PI()/2/$C$5+$C$18+2*$K$13*$C$17/$C$5</f>
        <v>-3.2337737680795918E-2</v>
      </c>
      <c r="L18" s="153">
        <f>TH(K18,0.00000000001)*PI()/180</f>
        <v>0</v>
      </c>
      <c r="M18" s="153">
        <f>$C$5*$C$4*$C$15/COS(L18)</f>
        <v>51.683094143224963</v>
      </c>
      <c r="N18" s="153">
        <f>$D18/($C$4*$C$5*$C$15)-PI()/2/$C$5+$C$18+2*$N$13*$C$17/$C$5</f>
        <v>-3.2144250813072997E-2</v>
      </c>
      <c r="O18" s="153">
        <f>TH(N18,0.00000000001)*PI()/180</f>
        <v>0</v>
      </c>
      <c r="P18" s="153">
        <f>$C$5*$C$4*$C$15/COS(O18)</f>
        <v>51.683094143224963</v>
      </c>
      <c r="Q18" s="153">
        <f>$D18/($C$4*$C$5*$C$15)-PI()/2/$C$5+$C$18+2*$Q$13*$C$17/$C$5</f>
        <v>-3.1950763945350076E-2</v>
      </c>
      <c r="R18" s="153">
        <f>TH(Q18,0.00000000001)*PI()/180</f>
        <v>0</v>
      </c>
      <c r="S18" s="153">
        <f>$C$5*$C$4*$C$15/COS(R18)</f>
        <v>51.683094143224963</v>
      </c>
      <c r="T18" s="153">
        <f>$D18/($C$4*$C$5*$C$15)-PI()/2/$C$5+$C$18+2*$T$13*$C$17/$C$5</f>
        <v>-3.1757277077627155E-2</v>
      </c>
      <c r="U18" s="153">
        <f>TH(T18,0.00000000001)*PI()/180</f>
        <v>0</v>
      </c>
      <c r="V18" s="153">
        <f>$C$5*$C$4*$C$15/COS(U18)</f>
        <v>51.683094143224963</v>
      </c>
      <c r="W18" s="153">
        <f>$D18/($C$4*$C$5*$C$15)-PI()/2/$C$5+$C$18+2*$W$13*$C$17/$C$5</f>
        <v>-3.1563790209904227E-2</v>
      </c>
      <c r="X18" s="153">
        <f>TH(W18,0.00000000001)*PI()/180</f>
        <v>0</v>
      </c>
      <c r="Y18" s="153">
        <f>$C$5*$C$4*$C$15/COS(X18)</f>
        <v>51.683094143224963</v>
      </c>
      <c r="Z18" s="153">
        <f>$D18/($C$4*$C$5*$C$15)-PI()/2/$C$5+$C$18+2*$Z$13*$C$17/$C$5</f>
        <v>-3.1370303342181299E-2</v>
      </c>
      <c r="AA18" s="153">
        <f>TH(Z18,0.00000000001)*PI()/180</f>
        <v>0</v>
      </c>
      <c r="AB18" s="153">
        <f>$C$5*$C$4*$C$15/COS(AA18)</f>
        <v>51.683094143224963</v>
      </c>
      <c r="AC18" s="141"/>
      <c r="AD18" s="25"/>
      <c r="AE18" s="25"/>
      <c r="AF18" s="25"/>
    </row>
    <row r="19" spans="1:32">
      <c r="A19" s="141"/>
      <c r="B19" s="141"/>
      <c r="C19" s="141"/>
      <c r="D19" s="141"/>
      <c r="E19" s="141"/>
      <c r="F19" s="141"/>
      <c r="G19" s="141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1"/>
      <c r="AD19" s="25"/>
      <c r="AE19" s="25"/>
      <c r="AF19" s="25"/>
    </row>
    <row r="20" spans="1:32">
      <c r="A20" s="141"/>
      <c r="B20" s="142" t="s">
        <v>142</v>
      </c>
      <c r="C20" s="141"/>
      <c r="D20" s="141"/>
      <c r="E20" s="141"/>
      <c r="F20" s="141"/>
      <c r="G20" s="141"/>
      <c r="H20" s="142" t="s">
        <v>143</v>
      </c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25"/>
      <c r="AE20" s="25"/>
      <c r="AF20" s="25"/>
    </row>
    <row r="21" spans="1:32">
      <c r="A21" s="141"/>
      <c r="B21" s="141" t="s">
        <v>144</v>
      </c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25"/>
      <c r="AE21" s="25"/>
      <c r="AF21" s="25"/>
    </row>
    <row r="22" spans="1:32">
      <c r="A22" s="141"/>
      <c r="B22" s="141" t="s">
        <v>145</v>
      </c>
      <c r="C22" s="141" t="s">
        <v>146</v>
      </c>
      <c r="D22" s="141"/>
      <c r="E22" s="141"/>
      <c r="F22" s="141"/>
      <c r="G22" s="141"/>
      <c r="H22" s="142" t="s">
        <v>147</v>
      </c>
      <c r="I22" s="141"/>
      <c r="J22" s="141"/>
      <c r="K22" s="155">
        <f>(PI()/2/$C$5-$C$18)-2*$E$13*$C$17/$C$5</f>
        <v>3.2724711416241767E-2</v>
      </c>
      <c r="L22" s="153">
        <f>(PI()/2/$C$5-$C$18)-2*$H$13*$C$17/$C$5</f>
        <v>3.2531224548518839E-2</v>
      </c>
      <c r="M22" s="153">
        <f>(PI()/2/$C$5-$C$18)-2*$K$13*$C$17/$C$5</f>
        <v>3.2337737680795918E-2</v>
      </c>
      <c r="N22" s="153">
        <f>(PI()/2/$C$5-$C$18)-2*$N$13*$C$17/$C$5</f>
        <v>3.2144250813072997E-2</v>
      </c>
      <c r="O22" s="153">
        <f>(PI()/2/$C$5-$C$18)-2*$Q$13*$C$17/$C$5</f>
        <v>3.1950763945350076E-2</v>
      </c>
      <c r="P22" s="153">
        <f>(PI()/2/$C$5-$C$18)-2*$T$13*$C$17/$C$5</f>
        <v>3.1757277077627155E-2</v>
      </c>
      <c r="Q22" s="153">
        <f>(PI()/2/$C$5-$C$18)-2*$W$13*$C$17/$C$5</f>
        <v>3.1563790209904227E-2</v>
      </c>
      <c r="R22" s="153">
        <f>(PI()/2/$C$5-$C$18)-2*$Z$13*$C$17/$C$5</f>
        <v>3.1370303342181299E-2</v>
      </c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25"/>
      <c r="AE22" s="25"/>
      <c r="AF22" s="25"/>
    </row>
    <row r="23" spans="1:32">
      <c r="A23" s="141"/>
      <c r="B23" s="141" t="s">
        <v>148</v>
      </c>
      <c r="C23" s="141" t="s">
        <v>149</v>
      </c>
      <c r="D23" s="141"/>
      <c r="E23" s="141"/>
      <c r="F23" s="141"/>
      <c r="G23" s="141"/>
      <c r="H23" s="142" t="s">
        <v>150</v>
      </c>
      <c r="I23" s="141"/>
      <c r="J23" s="141"/>
      <c r="K23" s="155">
        <f>ACOS($C$5*$C$4*$C$15/(($C$5+2*$E$13)*$C$4))</f>
        <v>0.49052832462266793</v>
      </c>
      <c r="L23" s="153">
        <f>ACOS($C$5*$C$4*$C$15/(($C$5+2*$H$13)*$C$4))</f>
        <v>0.49146140329117061</v>
      </c>
      <c r="M23" s="153">
        <f>ACOS($C$5*$C$4*$C$15/(($C$5+2*$K$13)*$C$4))</f>
        <v>0.49239193036212581</v>
      </c>
      <c r="N23" s="153">
        <f>ACOS($C$5*$C$4*$C$15/(($C$5+2*$N$13)*$C$4))</f>
        <v>0.49331992128181201</v>
      </c>
      <c r="O23" s="153">
        <f>ACOS($C$5*$C$4*$C$15/(($C$5+2*$Q$13)*$C$4))</f>
        <v>0.49424539133954193</v>
      </c>
      <c r="P23" s="153">
        <f>ACOS($C$5*$C$4*$C$15/(($C$5+2*$T$13)*$C$4))</f>
        <v>0.49516835566992023</v>
      </c>
      <c r="Q23" s="153">
        <f>ACOS($C$5*$C$4*$C$15/(($C$5+2*$W$13)*$C$4))</f>
        <v>0.49608882925505648</v>
      </c>
      <c r="R23" s="153">
        <f>ACOS($C$5*$C$4*$C$15/(($C$5+2*$Z$13)*$C$4))</f>
        <v>0.49700682692673692</v>
      </c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25"/>
      <c r="AE23" s="25"/>
      <c r="AF23" s="25"/>
    </row>
    <row r="24" spans="1:32">
      <c r="A24" s="141"/>
      <c r="B24" s="141"/>
      <c r="C24" s="141"/>
      <c r="D24" s="141"/>
      <c r="E24" s="141"/>
      <c r="F24" s="141"/>
      <c r="G24" s="141"/>
      <c r="H24" s="142" t="s">
        <v>151</v>
      </c>
      <c r="I24" s="141"/>
      <c r="J24" s="141"/>
      <c r="K24" s="155">
        <f>TAN(K23)+K22</f>
        <v>0.56679168392902479</v>
      </c>
      <c r="L24" s="153">
        <f t="shared" ref="L24:R24" si="4">TAN(L23)+L22</f>
        <v>0.56779801370339922</v>
      </c>
      <c r="M24" s="153">
        <f t="shared" si="4"/>
        <v>0.5688022566273313</v>
      </c>
      <c r="N24" s="153">
        <f t="shared" si="4"/>
        <v>0.56980442664726838</v>
      </c>
      <c r="O24" s="153">
        <f t="shared" si="4"/>
        <v>0.57080453756184313</v>
      </c>
      <c r="P24" s="153">
        <f t="shared" si="4"/>
        <v>0.57180260302404107</v>
      </c>
      <c r="Q24" s="153">
        <f t="shared" si="4"/>
        <v>0.57279863654332319</v>
      </c>
      <c r="R24" s="153">
        <f t="shared" si="4"/>
        <v>0.57379265148770886</v>
      </c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25"/>
      <c r="AE24" s="25"/>
      <c r="AF24" s="25"/>
    </row>
    <row r="25" spans="1:32">
      <c r="A25" s="141"/>
      <c r="B25" s="141"/>
      <c r="C25" s="141"/>
      <c r="D25" s="141"/>
      <c r="E25" s="141"/>
      <c r="F25" s="141"/>
      <c r="G25" s="141"/>
      <c r="H25" s="142" t="s">
        <v>152</v>
      </c>
      <c r="I25" s="141"/>
      <c r="J25" s="141"/>
      <c r="K25" s="156">
        <f>$C$5*$C$4*$C$15*((TAN(K24)-K24)+K22)</f>
        <v>5.2915441375030161</v>
      </c>
      <c r="L25" s="147">
        <f t="shared" ref="L25:R25" si="5">$C$5*$C$4*$C$15*((TAN(L24)-L24)+L22)</f>
        <v>5.3026588038825615</v>
      </c>
      <c r="M25" s="147">
        <f t="shared" si="5"/>
        <v>5.3138233306781162</v>
      </c>
      <c r="N25" s="147">
        <f t="shared" si="5"/>
        <v>5.3250377572166201</v>
      </c>
      <c r="O25" s="147">
        <f t="shared" si="5"/>
        <v>5.3363021232441046</v>
      </c>
      <c r="P25" s="147">
        <f t="shared" si="5"/>
        <v>5.3476164689234649</v>
      </c>
      <c r="Q25" s="147">
        <f t="shared" si="5"/>
        <v>5.3589808348322787</v>
      </c>
      <c r="R25" s="147">
        <f t="shared" si="5"/>
        <v>5.3703952619605717</v>
      </c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25"/>
      <c r="AE25" s="25"/>
      <c r="AF25" s="25"/>
    </row>
    <row r="26" spans="1:32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25"/>
      <c r="AE26" s="25"/>
      <c r="AF26" s="25"/>
    </row>
    <row r="27" spans="1:32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25"/>
      <c r="AE27" s="25"/>
      <c r="AF27" s="25"/>
    </row>
    <row r="28" spans="1:32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25"/>
      <c r="AE28" s="25"/>
      <c r="AF28" s="25"/>
    </row>
    <row r="29" spans="1:3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</row>
    <row r="30" spans="1:3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</row>
    <row r="31" spans="1:3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</row>
    <row r="32" spans="1:3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</row>
    <row r="33" spans="1:3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</row>
    <row r="34" spans="1:3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</row>
    <row r="35" spans="1:3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</row>
    <row r="36" spans="1:3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</row>
    <row r="37" spans="1:32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</row>
    <row r="38" spans="1:32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</row>
    <row r="39" spans="1:32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</row>
  </sheetData>
  <sheetProtection sheet="1" objects="1" scenarios="1"/>
  <phoneticPr fontId="44"/>
  <pageMargins left="0.78700000000000003" right="0.78700000000000003" top="0.98399999999999999" bottom="0.98399999999999999" header="0.51200000000000001" footer="0.51200000000000001"/>
  <pageSetup paperSize="8" orientation="portrait" horizontalDpi="4294967293" verticalDpi="0" r:id="rId1"/>
  <headerFooter alignWithMargins="0">
    <oddHeader>&amp;A</oddHeader>
    <oddFooter>- &amp;P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入力シートへ戻る">
                <anchor moveWithCells="1" sizeWithCells="1">
                  <from>
                    <xdr:col>7</xdr:col>
                    <xdr:colOff>419100</xdr:colOff>
                    <xdr:row>0</xdr:row>
                    <xdr:rowOff>152400</xdr:rowOff>
                  </from>
                  <to>
                    <xdr:col>9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G39"/>
  <sheetViews>
    <sheetView showRowColHeaders="0" workbookViewId="0">
      <selection activeCell="G3" sqref="G3"/>
    </sheetView>
  </sheetViews>
  <sheetFormatPr defaultRowHeight="13.5"/>
  <cols>
    <col min="2" max="2" width="8.125" customWidth="1"/>
    <col min="3" max="3" width="7.5" customWidth="1"/>
    <col min="4" max="4" width="6.5" customWidth="1"/>
    <col min="5" max="5" width="7.875" customWidth="1"/>
    <col min="6" max="6" width="10.5" customWidth="1"/>
    <col min="7" max="11" width="10.625" customWidth="1"/>
    <col min="12" max="12" width="8.375" customWidth="1"/>
    <col min="33" max="33" width="20.25" customWidth="1"/>
  </cols>
  <sheetData>
    <row r="1" spans="1:33">
      <c r="A1" s="25"/>
      <c r="B1" s="25"/>
      <c r="C1" s="25"/>
      <c r="D1" s="25"/>
      <c r="E1" s="128"/>
      <c r="F1" s="25"/>
      <c r="G1" s="25"/>
      <c r="H1" s="129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</row>
    <row r="2" spans="1:33">
      <c r="A2" s="25"/>
      <c r="B2" s="25"/>
      <c r="C2" s="25"/>
      <c r="D2" s="25"/>
      <c r="E2" s="25"/>
      <c r="F2" s="25"/>
      <c r="G2" s="137" t="s">
        <v>125</v>
      </c>
      <c r="H2" s="157"/>
      <c r="I2" s="157"/>
      <c r="J2" s="158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</row>
    <row r="3" spans="1:33">
      <c r="A3" s="25"/>
      <c r="B3" s="131"/>
      <c r="C3" s="132"/>
      <c r="D3" s="25"/>
      <c r="E3" s="137" t="s">
        <v>126</v>
      </c>
      <c r="F3" s="137" t="s">
        <v>127</v>
      </c>
      <c r="G3" s="127"/>
      <c r="H3" s="166" t="s">
        <v>128</v>
      </c>
      <c r="I3" s="164"/>
      <c r="J3" s="165"/>
      <c r="K3" s="137" t="s">
        <v>129</v>
      </c>
      <c r="L3" s="138" t="s">
        <v>130</v>
      </c>
      <c r="M3" s="137" t="s">
        <v>131</v>
      </c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</row>
    <row r="4" spans="1:33">
      <c r="A4" s="25"/>
      <c r="B4" s="137" t="s">
        <v>132</v>
      </c>
      <c r="C4" s="161">
        <f>入力ｼｰﾄ!H7</f>
        <v>2.5</v>
      </c>
      <c r="D4" s="133"/>
      <c r="E4" s="135">
        <f>IF(入力ｼｰﾄ!C15="マタギ枚数",入力ｼｰﾄ!D15,0)</f>
        <v>4</v>
      </c>
      <c r="F4" s="126">
        <f>IF(貼付けｼｰﾄ!H3="M",入力ｼｰﾄ!D7+入力ｼｰﾄ!D8-0.02,0)</f>
        <v>27.87</v>
      </c>
      <c r="G4" s="179">
        <f>IF(MOD($C$5,2)&gt;0,ROUNDDOWN($G$15*COS(90/$C$5*PI()/180)+$G$3,3),ROUNDDOWN($G$15+$G$3,3))</f>
        <v>51.683</v>
      </c>
      <c r="H4" s="180" t="str">
        <f>CONCATENATE(FIXED(G5,3,)," を越え ", FIXED(G4,3,)," 以下")</f>
        <v>51.683 を越え 51.683 以下</v>
      </c>
      <c r="I4" s="180"/>
      <c r="J4" s="180"/>
      <c r="K4" s="178">
        <f>E13</f>
        <v>0.74179565260940361</v>
      </c>
      <c r="L4" s="179">
        <f>K25</f>
        <v>5.3363021232440939</v>
      </c>
      <c r="M4" s="181">
        <f t="shared" ref="M4:M11" si="0">K4*$C$4</f>
        <v>1.854489131523509</v>
      </c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t="str">
        <f>CONCATENATE(FIXED(F5,2,)," を越え ", FIXED(F4,2,)," 以下")</f>
        <v>27.86 を越え 27.87 以下</v>
      </c>
    </row>
    <row r="5" spans="1:33">
      <c r="A5" s="25"/>
      <c r="B5" s="137" t="s">
        <v>100</v>
      </c>
      <c r="C5" s="159">
        <f>入力ｼｰﾄ!H9</f>
        <v>22</v>
      </c>
      <c r="D5" s="133"/>
      <c r="E5" s="184">
        <f t="shared" ref="E5:E11" si="1">E4</f>
        <v>4</v>
      </c>
      <c r="F5" s="185">
        <f>F4+C9</f>
        <v>27.86</v>
      </c>
      <c r="G5" s="179">
        <f>IF(MOD($C$5,2)&gt;0,ROUNDDOWN($J$15*COS(90/$C$5*PI()/180)+$G$3,3),ROUNDDOWN($J$15+$G$3,3))</f>
        <v>51.683</v>
      </c>
      <c r="H5" s="180" t="str">
        <f t="shared" ref="H5:H11" si="2">CONCATENATE(FIXED(G6,3,)," を越え ", FIXED(G5,3,)," 以下")</f>
        <v>51.683 を越え 51.683 以下</v>
      </c>
      <c r="I5" s="180"/>
      <c r="J5" s="180"/>
      <c r="K5" s="178">
        <f>H13</f>
        <v>0.73594804380907652</v>
      </c>
      <c r="L5" s="179">
        <f>L25</f>
        <v>5.3250377572166094</v>
      </c>
      <c r="M5" s="181">
        <f t="shared" si="0"/>
        <v>1.8398701095226913</v>
      </c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t="str">
        <f t="shared" ref="AG5:AG11" si="3">CONCATENATE(FIXED(F6,2,)," を越え ", FIXED(F5,2,)," 以下")</f>
        <v>27.85 を越え 27.86 以下</v>
      </c>
    </row>
    <row r="6" spans="1:33">
      <c r="A6" s="25"/>
      <c r="B6" s="137" t="s">
        <v>97</v>
      </c>
      <c r="C6" s="160">
        <f>入力ｼｰﾄ!H8</f>
        <v>20</v>
      </c>
      <c r="D6" s="133"/>
      <c r="E6" s="184">
        <f t="shared" si="1"/>
        <v>4</v>
      </c>
      <c r="F6" s="185">
        <f>F5+C9</f>
        <v>27.849999999999998</v>
      </c>
      <c r="G6" s="179">
        <f>IF(MOD($C$5,2)&gt;0,ROUNDDOWN($M$15*COS(90/$C$5*PI()/180)+$G$3,3),ROUNDDOWN($M$15+$G$3,3))</f>
        <v>51.683</v>
      </c>
      <c r="H6" s="180" t="str">
        <f t="shared" si="2"/>
        <v>51.683 を越え 51.683 以下</v>
      </c>
      <c r="I6" s="180"/>
      <c r="J6" s="180"/>
      <c r="K6" s="178">
        <f>K13</f>
        <v>0.73010043500874944</v>
      </c>
      <c r="L6" s="179">
        <f>M25</f>
        <v>5.3138233306781109</v>
      </c>
      <c r="M6" s="181">
        <f t="shared" si="0"/>
        <v>1.8252510875218735</v>
      </c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t="str">
        <f t="shared" si="3"/>
        <v>27.84 を越え 27.85 以下</v>
      </c>
    </row>
    <row r="7" spans="1:33">
      <c r="A7" s="25"/>
      <c r="B7" s="25"/>
      <c r="C7" s="134"/>
      <c r="D7" s="133"/>
      <c r="E7" s="184">
        <f t="shared" si="1"/>
        <v>4</v>
      </c>
      <c r="F7" s="185">
        <f>F6+C9</f>
        <v>27.839999999999996</v>
      </c>
      <c r="G7" s="179">
        <f>IF(MOD($C$5,2)&gt;0,ROUNDDOWN($P$15*COS(90/$C$5*PI()/180)+$G$3,3),ROUNDDOWN($P$15+$G$3,3))</f>
        <v>51.683</v>
      </c>
      <c r="H7" s="180" t="str">
        <f t="shared" si="2"/>
        <v>51.683 を越え 51.683 以下</v>
      </c>
      <c r="I7" s="180"/>
      <c r="J7" s="180"/>
      <c r="K7" s="178">
        <f>N13</f>
        <v>0.72425282620842235</v>
      </c>
      <c r="L7" s="179">
        <f>N25</f>
        <v>5.3026588038825571</v>
      </c>
      <c r="M7" s="181">
        <f t="shared" si="0"/>
        <v>1.8106320655210559</v>
      </c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t="str">
        <f t="shared" si="3"/>
        <v>27.83 を越え 27.84 以下</v>
      </c>
    </row>
    <row r="8" spans="1:33">
      <c r="A8" s="25"/>
      <c r="B8" s="139" t="s">
        <v>133</v>
      </c>
      <c r="C8" s="140"/>
      <c r="D8" s="133"/>
      <c r="E8" s="184">
        <f t="shared" si="1"/>
        <v>4</v>
      </c>
      <c r="F8" s="185">
        <f>F7+C9</f>
        <v>27.829999999999995</v>
      </c>
      <c r="G8" s="179">
        <f>IF(MOD($C$5,2)&gt;0,ROUNDDOWN($S$15*COS(90/$C$5*PI()/180)+$G$3,3),ROUNDDOWN($S$15+$G$3,3))</f>
        <v>51.683</v>
      </c>
      <c r="H8" s="180" t="str">
        <f t="shared" si="2"/>
        <v>51.683 を越え 51.683 以下</v>
      </c>
      <c r="I8" s="180"/>
      <c r="J8" s="180"/>
      <c r="K8" s="178">
        <f>Q13</f>
        <v>0.71840521740809515</v>
      </c>
      <c r="L8" s="179">
        <f>O25</f>
        <v>5.2915441375030117</v>
      </c>
      <c r="M8" s="181">
        <f t="shared" si="0"/>
        <v>1.7960130435202379</v>
      </c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t="str">
        <f t="shared" si="3"/>
        <v>27.82 を越え 27.83 以下</v>
      </c>
    </row>
    <row r="9" spans="1:33">
      <c r="A9" s="25"/>
      <c r="B9" s="130"/>
      <c r="C9" s="162">
        <v>-0.01</v>
      </c>
      <c r="D9" s="133"/>
      <c r="E9" s="184">
        <f t="shared" si="1"/>
        <v>4</v>
      </c>
      <c r="F9" s="185">
        <f>F8+C9</f>
        <v>27.819999999999993</v>
      </c>
      <c r="G9" s="179">
        <f>IF(MOD($C$5,2)&gt;0,ROUNDDOWN($V$15*COS(90/$C$5*PI()/180)+$G$3,3),ROUNDDOWN($V$15+$G$3,3))</f>
        <v>51.683</v>
      </c>
      <c r="H9" s="180" t="str">
        <f t="shared" si="2"/>
        <v>51.683 を越え 51.683 以下</v>
      </c>
      <c r="I9" s="180"/>
      <c r="J9" s="180"/>
      <c r="K9" s="178">
        <f>T13</f>
        <v>0.71255760860776807</v>
      </c>
      <c r="L9" s="179">
        <f>P25</f>
        <v>5.2804792926339443</v>
      </c>
      <c r="M9" s="181">
        <f t="shared" si="0"/>
        <v>1.7813940215194202</v>
      </c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t="str">
        <f t="shared" si="3"/>
        <v>27.81 を越え 27.82 以下</v>
      </c>
    </row>
    <row r="10" spans="1:33">
      <c r="A10" s="25"/>
      <c r="B10" s="25"/>
      <c r="C10" s="134"/>
      <c r="D10" s="133"/>
      <c r="E10" s="184">
        <f t="shared" si="1"/>
        <v>4</v>
      </c>
      <c r="F10" s="185">
        <f>F9+C9</f>
        <v>27.809999999999992</v>
      </c>
      <c r="G10" s="179">
        <f>IF(MOD($C$5,2)&gt;0,ROUNDDOWN($Y$15*COS(90/$C$5*PI()/180)+$G$3,3),ROUNDDOWN($Y$15+$G$3,3))</f>
        <v>51.683</v>
      </c>
      <c r="H10" s="180" t="str">
        <f t="shared" si="2"/>
        <v>51.683 を越え 51.683 以下</v>
      </c>
      <c r="I10" s="180"/>
      <c r="J10" s="180"/>
      <c r="K10" s="178">
        <f>W13</f>
        <v>0.70670999980744098</v>
      </c>
      <c r="L10" s="179">
        <f>Q25</f>
        <v>5.2694642307935924</v>
      </c>
      <c r="M10" s="181">
        <f t="shared" si="0"/>
        <v>1.7667749995186024</v>
      </c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t="str">
        <f t="shared" si="3"/>
        <v>27.80 を越え 27.81 以下</v>
      </c>
    </row>
    <row r="11" spans="1:33">
      <c r="A11" s="25"/>
      <c r="B11" s="25"/>
      <c r="C11" s="25"/>
      <c r="D11" s="25"/>
      <c r="E11" s="184">
        <f t="shared" si="1"/>
        <v>4</v>
      </c>
      <c r="F11" s="185">
        <f>F10+C9</f>
        <v>27.79999999999999</v>
      </c>
      <c r="G11" s="179">
        <f>IF(MOD($C$5,2)&gt;0,ROUNDDOWN($AB$15*COS(90/$C$5*PI()/180)+$G$3,3),ROUNDDOWN($AB$15+$G$3,3))</f>
        <v>51.683</v>
      </c>
      <c r="H11" s="180" t="str">
        <f t="shared" si="2"/>
        <v>51.655 を越え 51.683 以下</v>
      </c>
      <c r="I11" s="180"/>
      <c r="J11" s="180"/>
      <c r="K11" s="182">
        <f>Z13</f>
        <v>0.70086239100711389</v>
      </c>
      <c r="L11" s="183">
        <f>R25</f>
        <v>5.2584989139262897</v>
      </c>
      <c r="M11" s="181">
        <f t="shared" si="0"/>
        <v>1.7521559775177846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t="str">
        <f t="shared" si="3"/>
        <v>27.79 を越え 27.80 以下</v>
      </c>
    </row>
    <row r="12" spans="1:33">
      <c r="A12" s="141"/>
      <c r="B12" s="141"/>
      <c r="C12" s="141"/>
      <c r="D12" s="141"/>
      <c r="E12" s="141" t="s">
        <v>129</v>
      </c>
      <c r="F12" s="169">
        <f>F11+C9</f>
        <v>27.789999999999988</v>
      </c>
      <c r="G12" s="136">
        <f>G11-0.028</f>
        <v>51.655000000000001</v>
      </c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25"/>
      <c r="AE12" s="25"/>
      <c r="AF12" s="25"/>
    </row>
    <row r="13" spans="1:33" ht="27" customHeight="1">
      <c r="A13" s="141"/>
      <c r="B13" s="141"/>
      <c r="C13" s="141"/>
      <c r="D13" s="141"/>
      <c r="E13" s="154">
        <f>($F$4-$C$4*$C$15*(PI()*($E$4-0.5)+$C$5*$C$18))/(2*$C$4*$C$16)</f>
        <v>0.74179565260940361</v>
      </c>
      <c r="F13" s="148"/>
      <c r="G13" s="153"/>
      <c r="H13" s="148">
        <f>($F$5-$C$4*$C$15*(PI()*($E$5-0.5)+$C$5*$C$18))/(2*$C$4*$C$16)</f>
        <v>0.73594804380907652</v>
      </c>
      <c r="I13" s="148"/>
      <c r="J13" s="153"/>
      <c r="K13" s="148">
        <f>($F$6-$C$4*$C$15*(PI()*($E$6-0.5)+$C$5*$C$18))/(2*$C$4*$C$16)</f>
        <v>0.73010043500874944</v>
      </c>
      <c r="L13" s="148"/>
      <c r="M13" s="153"/>
      <c r="N13" s="148">
        <f>($F$7-$C$4*$C$15*(PI()*($E$7-0.5)+$C$5*$C$18))/(2*$C$4*$C$16)</f>
        <v>0.72425282620842235</v>
      </c>
      <c r="O13" s="148"/>
      <c r="P13" s="153"/>
      <c r="Q13" s="148">
        <f>($F$8-$C$4*$C$15*(PI()*($E$8-0.5)+$C$5*$C$18))/(2*$C$4*$C$16)</f>
        <v>0.71840521740809515</v>
      </c>
      <c r="R13" s="148"/>
      <c r="S13" s="153"/>
      <c r="T13" s="148">
        <f>($F$9-$C$4*$C$15*(PI()*($E$9-0.5)+$C$5*$C$18))/(2*$C$4*$C$16)</f>
        <v>0.71255760860776807</v>
      </c>
      <c r="U13" s="148"/>
      <c r="V13" s="153"/>
      <c r="W13" s="148">
        <f>($F$10-$C$4*$C$15*(PI()*($E$10-0.5)+$C$5*$C$18))/(2*$C$4*$C$16)</f>
        <v>0.70670999980744098</v>
      </c>
      <c r="X13" s="148"/>
      <c r="Y13" s="153"/>
      <c r="Z13" s="148">
        <f>($F$11-$C$4*$C$15*(PI()*($E$11-0.5)+$C$5*$C$18))/(2*$C$4*$C$16)</f>
        <v>0.70086239100711389</v>
      </c>
      <c r="AA13" s="148"/>
      <c r="AB13" s="153"/>
      <c r="AC13" s="141"/>
      <c r="AD13" s="25"/>
      <c r="AE13" s="25"/>
      <c r="AF13" s="25"/>
    </row>
    <row r="14" spans="1:33" ht="27">
      <c r="A14" s="141"/>
      <c r="B14" s="146" t="s">
        <v>134</v>
      </c>
      <c r="C14" s="147">
        <f>C6*PI()/180</f>
        <v>0.3490658503988659</v>
      </c>
      <c r="D14" s="147" t="s">
        <v>130</v>
      </c>
      <c r="E14" s="149" t="s">
        <v>135</v>
      </c>
      <c r="F14" s="149" t="s">
        <v>136</v>
      </c>
      <c r="G14" s="150" t="s">
        <v>137</v>
      </c>
      <c r="H14" s="151" t="s">
        <v>135</v>
      </c>
      <c r="I14" s="151" t="s">
        <v>136</v>
      </c>
      <c r="J14" s="152" t="s">
        <v>137</v>
      </c>
      <c r="K14" s="151" t="s">
        <v>135</v>
      </c>
      <c r="L14" s="151" t="s">
        <v>136</v>
      </c>
      <c r="M14" s="152" t="s">
        <v>137</v>
      </c>
      <c r="N14" s="151" t="s">
        <v>135</v>
      </c>
      <c r="O14" s="151" t="s">
        <v>136</v>
      </c>
      <c r="P14" s="152" t="s">
        <v>137</v>
      </c>
      <c r="Q14" s="151" t="s">
        <v>135</v>
      </c>
      <c r="R14" s="151" t="s">
        <v>136</v>
      </c>
      <c r="S14" s="152" t="s">
        <v>137</v>
      </c>
      <c r="T14" s="151" t="s">
        <v>135</v>
      </c>
      <c r="U14" s="151" t="s">
        <v>136</v>
      </c>
      <c r="V14" s="152" t="s">
        <v>137</v>
      </c>
      <c r="W14" s="151" t="s">
        <v>135</v>
      </c>
      <c r="X14" s="151" t="s">
        <v>136</v>
      </c>
      <c r="Y14" s="152" t="s">
        <v>137</v>
      </c>
      <c r="Z14" s="151" t="s">
        <v>135</v>
      </c>
      <c r="AA14" s="151" t="s">
        <v>136</v>
      </c>
      <c r="AB14" s="152" t="s">
        <v>137</v>
      </c>
      <c r="AC14" s="141"/>
      <c r="AD14" s="25"/>
      <c r="AE14" s="25"/>
      <c r="AF14" s="25"/>
    </row>
    <row r="15" spans="1:33">
      <c r="A15" s="141"/>
      <c r="B15" s="144" t="s">
        <v>138</v>
      </c>
      <c r="C15" s="145">
        <f>COS(C14)</f>
        <v>0.93969262078590843</v>
      </c>
      <c r="D15" s="143">
        <f>G3</f>
        <v>0</v>
      </c>
      <c r="E15" s="145">
        <f>$D$15/($C$4*$C$5*$C$15)-PI()/2/$C$5+$C$18+2*$E$13*$C$17/$C$5</f>
        <v>-3.1950763945350208E-2</v>
      </c>
      <c r="F15" s="145">
        <f>TH(E15,0.00000000001)*PI()/180</f>
        <v>0</v>
      </c>
      <c r="G15" s="145">
        <f>$C$5*$C$4*$C$15/COS(F15)</f>
        <v>51.683094143224963</v>
      </c>
      <c r="H15" s="153">
        <f>$D15/($C$4*$C$5*$C$15)-PI()/2/$C$5+$C$18+2*$H$13*$C$17/$C$5</f>
        <v>-3.2144250813073136E-2</v>
      </c>
      <c r="I15" s="153">
        <f>TH(H15,0.00000000001)*PI()/180</f>
        <v>0</v>
      </c>
      <c r="J15" s="153">
        <f>$C$5*$C$4*$C$15/COS(I15)</f>
        <v>51.683094143224963</v>
      </c>
      <c r="K15" s="153">
        <f>$D15/($C$4*$C$5*$C$15)-PI()/2/$C$5+$C$18+2*$K$13*$C$17/$C$5</f>
        <v>-3.233773768079605E-2</v>
      </c>
      <c r="L15" s="153">
        <f>TH(K15,0.00000000001)*PI()/180</f>
        <v>0</v>
      </c>
      <c r="M15" s="153">
        <f>$C$5*$C$4*$C$15/COS(L15)</f>
        <v>51.683094143224963</v>
      </c>
      <c r="N15" s="153">
        <f>$D15/($C$4*$C$5*$C$15)-PI()/2/$C$5+$C$18+2*$N$13*$C$17/$C$5</f>
        <v>-3.2531224548518978E-2</v>
      </c>
      <c r="O15" s="153">
        <f>TH(N15,0.00000000001)*PI()/180</f>
        <v>0</v>
      </c>
      <c r="P15" s="153">
        <f>$C$5*$C$4*$C$15/COS(O15)</f>
        <v>51.683094143224963</v>
      </c>
      <c r="Q15" s="153">
        <f>$D15/($C$4*$C$5*$C$15)-PI()/2/$C$5+$C$18+2*$Q$13*$C$17/$C$5</f>
        <v>-3.2724711416241906E-2</v>
      </c>
      <c r="R15" s="153">
        <f>TH(Q15,0.00000000001)*PI()/180</f>
        <v>0</v>
      </c>
      <c r="S15" s="153">
        <f>$C$5*$C$4*$C$15/COS(R15)</f>
        <v>51.683094143224963</v>
      </c>
      <c r="T15" s="153">
        <f>$D15/($C$4*$C$5*$C$15)-PI()/2/$C$5+$C$18+2*$T$13*$C$17/$C$5</f>
        <v>-3.2918198283964827E-2</v>
      </c>
      <c r="U15" s="153">
        <f>TH(T15,0.00000000001)*PI()/180</f>
        <v>0</v>
      </c>
      <c r="V15" s="153">
        <f>$C$5*$C$4*$C$15/COS(U15)</f>
        <v>51.683094143224963</v>
      </c>
      <c r="W15" s="153">
        <f>$D15/($C$4*$C$5*$C$15)-PI()/2/$C$5+$C$18+2*$W$13*$C$17/$C$5</f>
        <v>-3.3111685151687748E-2</v>
      </c>
      <c r="X15" s="153">
        <f>TH(W15,0.00000000001)*PI()/180</f>
        <v>0</v>
      </c>
      <c r="Y15" s="153">
        <f>$C$5*$C$4*$C$15/COS(X15)</f>
        <v>51.683094143224963</v>
      </c>
      <c r="Z15" s="153">
        <f>$D15/($C$4*$C$5*$C$15)-PI()/2/$C$5+$C$18+2*$Z$13*$C$17/$C$5</f>
        <v>-3.3305172019410675E-2</v>
      </c>
      <c r="AA15" s="153">
        <f>TH(Z15,0.00000000001)*PI()/180</f>
        <v>0</v>
      </c>
      <c r="AB15" s="153">
        <f>$C$5*$C$4*$C$15/COS(AA15)</f>
        <v>51.683094143224963</v>
      </c>
      <c r="AC15" s="141"/>
      <c r="AD15" s="25"/>
      <c r="AE15" s="25"/>
      <c r="AF15" s="25"/>
    </row>
    <row r="16" spans="1:33">
      <c r="A16" s="141"/>
      <c r="B16" s="144" t="s">
        <v>139</v>
      </c>
      <c r="C16" s="145">
        <f>SIN(C14)</f>
        <v>0.34202014332566871</v>
      </c>
      <c r="D16" s="143" t="str">
        <f>H3</f>
        <v>サイズ表  表記</v>
      </c>
      <c r="E16" s="145" t="e">
        <f>$D$16/($C$4*$C$5*$C$15)-PI()/2/$C$5+$C$18+2*$E$13*$C$17/$C$5</f>
        <v>#VALUE!</v>
      </c>
      <c r="F16" s="145" t="e">
        <f>TH(E16,0.00000000001)*PI()/180</f>
        <v>#VALUE!</v>
      </c>
      <c r="G16" s="145" t="e">
        <f>$C$5*$C$4*$C$15/COS(F16)</f>
        <v>#VALUE!</v>
      </c>
      <c r="H16" s="153" t="e">
        <f>$D16/($C$4*$C$5*$C$15)-PI()/2/$C$5+$C$18+2*$H$13*$C$17/$C$5</f>
        <v>#VALUE!</v>
      </c>
      <c r="I16" s="153" t="e">
        <f>TH(H16,0.00000000001)*PI()/180</f>
        <v>#VALUE!</v>
      </c>
      <c r="J16" s="153" t="e">
        <f>$C$5*$C$4*$C$15/COS(I16)</f>
        <v>#VALUE!</v>
      </c>
      <c r="K16" s="153" t="e">
        <f>$D16/($C$4*$C$5*$C$15)-PI()/2/$C$5+$C$18+2*$K$13*$C$17/$C$5</f>
        <v>#VALUE!</v>
      </c>
      <c r="L16" s="153" t="e">
        <f>TH(K16,0.00000000001)*PI()/180</f>
        <v>#VALUE!</v>
      </c>
      <c r="M16" s="153" t="e">
        <f>$C$5*$C$4*$C$15/COS(L16)</f>
        <v>#VALUE!</v>
      </c>
      <c r="N16" s="153" t="e">
        <f>$D16/($C$4*$C$5*$C$15)-PI()/2/$C$5+$C$18+2*$N$13*$C$17/$C$5</f>
        <v>#VALUE!</v>
      </c>
      <c r="O16" s="153" t="e">
        <f>TH(N16,0.00000000001)*PI()/180</f>
        <v>#VALUE!</v>
      </c>
      <c r="P16" s="153" t="e">
        <f>$C$5*$C$4*$C$15/COS(O16)</f>
        <v>#VALUE!</v>
      </c>
      <c r="Q16" s="153" t="e">
        <f>$D16/($C$4*$C$5*$C$15)-PI()/2/$C$5+$C$18+2*$Q$13*$C$17/$C$5</f>
        <v>#VALUE!</v>
      </c>
      <c r="R16" s="153" t="e">
        <f>TH(Q16,0.00000000001)*PI()/180</f>
        <v>#VALUE!</v>
      </c>
      <c r="S16" s="153" t="e">
        <f>$C$5*$C$4*$C$15/COS(R16)</f>
        <v>#VALUE!</v>
      </c>
      <c r="T16" s="153" t="e">
        <f>$D16/($C$4*$C$5*$C$15)-PI()/2/$C$5+$C$18+2*$T$13*$C$17/$C$5</f>
        <v>#VALUE!</v>
      </c>
      <c r="U16" s="153" t="e">
        <f>TH(T16,0.00000000001)*PI()/180</f>
        <v>#VALUE!</v>
      </c>
      <c r="V16" s="153" t="e">
        <f>$C$5*$C$4*$C$15/COS(U16)</f>
        <v>#VALUE!</v>
      </c>
      <c r="W16" s="153" t="e">
        <f>$D16/($C$4*$C$5*$C$15)-PI()/2/$C$5+$C$18+2*$W$13*$C$17/$C$5</f>
        <v>#VALUE!</v>
      </c>
      <c r="X16" s="153" t="e">
        <f>TH(W16,0.00000000001)*PI()/180</f>
        <v>#VALUE!</v>
      </c>
      <c r="Y16" s="153" t="e">
        <f>$C$5*$C$4*$C$15/COS(X16)</f>
        <v>#VALUE!</v>
      </c>
      <c r="Z16" s="153" t="e">
        <f>$D16/($C$4*$C$5*$C$15)-PI()/2/$C$5+$C$18+2*$Z$13*$C$17/$C$5</f>
        <v>#VALUE!</v>
      </c>
      <c r="AA16" s="153" t="e">
        <f>TH(Z16,0.00000000001)*PI()/180</f>
        <v>#VALUE!</v>
      </c>
      <c r="AB16" s="153" t="e">
        <f>$C$5*$C$4*$C$15/COS(AA16)</f>
        <v>#VALUE!</v>
      </c>
      <c r="AC16" s="141"/>
      <c r="AD16" s="25"/>
      <c r="AE16" s="25"/>
      <c r="AF16" s="25"/>
    </row>
    <row r="17" spans="1:32">
      <c r="A17" s="141"/>
      <c r="B17" s="144" t="s">
        <v>140</v>
      </c>
      <c r="C17" s="145">
        <f>TAN(C14)</f>
        <v>0.36397023426620234</v>
      </c>
      <c r="D17" s="143">
        <f>I3</f>
        <v>0</v>
      </c>
      <c r="E17" s="145">
        <f>$D$17/($C$4*$C$5*$C$15)-PI()/2/$C$5+$C$18+2*$E$13*$C$17/$C$5</f>
        <v>-3.1950763945350208E-2</v>
      </c>
      <c r="F17" s="145">
        <f>TH(E17,0.00000000001)*PI()/180</f>
        <v>0</v>
      </c>
      <c r="G17" s="145">
        <f>$C$5*$C$4*$C$15/COS(F17)</f>
        <v>51.683094143224963</v>
      </c>
      <c r="H17" s="153">
        <f>$D17/($C$4*$C$5*$C$15)-PI()/2/$C$5+$C$18+2*$H$13*$C$17/$C$5</f>
        <v>-3.2144250813073136E-2</v>
      </c>
      <c r="I17" s="153">
        <f>TH(H17,0.00000000001)*PI()/180</f>
        <v>0</v>
      </c>
      <c r="J17" s="153">
        <f>$C$5*$C$4*$C$15/COS(I17)</f>
        <v>51.683094143224963</v>
      </c>
      <c r="K17" s="153">
        <f>$D17/($C$4*$C$5*$C$15)-PI()/2/$C$5+$C$18+2*$K$13*$C$17/$C$5</f>
        <v>-3.233773768079605E-2</v>
      </c>
      <c r="L17" s="153">
        <f>TH(K17,0.00000000001)*PI()/180</f>
        <v>0</v>
      </c>
      <c r="M17" s="153">
        <f>$C$5*$C$4*$C$15/COS(L17)</f>
        <v>51.683094143224963</v>
      </c>
      <c r="N17" s="153">
        <f>$D17/($C$4*$C$5*$C$15)-PI()/2/$C$5+$C$18+2*$N$13*$C$17/$C$5</f>
        <v>-3.2531224548518978E-2</v>
      </c>
      <c r="O17" s="153">
        <f>TH(N17,0.00000000001)*PI()/180</f>
        <v>0</v>
      </c>
      <c r="P17" s="153">
        <f>$C$5*$C$4*$C$15/COS(O17)</f>
        <v>51.683094143224963</v>
      </c>
      <c r="Q17" s="153">
        <f>$D17/($C$4*$C$5*$C$15)-PI()/2/$C$5+$C$18+2*$Q$13*$C$17/$C$5</f>
        <v>-3.2724711416241906E-2</v>
      </c>
      <c r="R17" s="153">
        <f>TH(Q17,0.00000000001)*PI()/180</f>
        <v>0</v>
      </c>
      <c r="S17" s="153">
        <f>$C$5*$C$4*$C$15/COS(R17)</f>
        <v>51.683094143224963</v>
      </c>
      <c r="T17" s="153">
        <f>$D17/($C$4*$C$5*$C$15)-PI()/2/$C$5+$C$18+2*$T$13*$C$17/$C$5</f>
        <v>-3.2918198283964827E-2</v>
      </c>
      <c r="U17" s="153">
        <f>TH(T17,0.00000000001)*PI()/180</f>
        <v>0</v>
      </c>
      <c r="V17" s="153">
        <f>$C$5*$C$4*$C$15/COS(U17)</f>
        <v>51.683094143224963</v>
      </c>
      <c r="W17" s="153">
        <f>$D17/($C$4*$C$5*$C$15)-PI()/2/$C$5+$C$18+2*$W$13*$C$17/$C$5</f>
        <v>-3.3111685151687748E-2</v>
      </c>
      <c r="X17" s="153">
        <f>TH(W17,0.00000000001)*PI()/180</f>
        <v>0</v>
      </c>
      <c r="Y17" s="153">
        <f>$C$5*$C$4*$C$15/COS(X17)</f>
        <v>51.683094143224963</v>
      </c>
      <c r="Z17" s="153">
        <f>$D17/($C$4*$C$5*$C$15)-PI()/2/$C$5+$C$18+2*$Z$13*$C$17/$C$5</f>
        <v>-3.3305172019410675E-2</v>
      </c>
      <c r="AA17" s="153">
        <f>TH(Z17,0.00000000001)*PI()/180</f>
        <v>0</v>
      </c>
      <c r="AB17" s="153">
        <f>$C$5*$C$4*$C$15/COS(AA17)</f>
        <v>51.683094143224963</v>
      </c>
      <c r="AC17" s="141"/>
      <c r="AD17" s="25"/>
      <c r="AE17" s="25"/>
      <c r="AF17" s="25"/>
    </row>
    <row r="18" spans="1:32">
      <c r="A18" s="141"/>
      <c r="B18" s="144" t="s">
        <v>141</v>
      </c>
      <c r="C18" s="145">
        <f>C17-C14</f>
        <v>1.4904383867336446E-2</v>
      </c>
      <c r="D18" s="143">
        <f>J3</f>
        <v>0</v>
      </c>
      <c r="E18" s="145">
        <f>$D$18/($C$4*$C$5*$C$15)-PI()/2/$C$5+$C$18+2*$E$13*$C$17/$C$5</f>
        <v>-3.1950763945350208E-2</v>
      </c>
      <c r="F18" s="145">
        <f>TH(E18,0.00000000001)*PI()/180</f>
        <v>0</v>
      </c>
      <c r="G18" s="145">
        <f>$C$5*$C$4*$C$15/COS(F18)</f>
        <v>51.683094143224963</v>
      </c>
      <c r="H18" s="153">
        <f>$D18/($C$4*$C$5*$C$15)-PI()/2/$C$5+$C$18+2*$H$13*$C$17/$C$5</f>
        <v>-3.2144250813073136E-2</v>
      </c>
      <c r="I18" s="153">
        <f>TH(H18,0.00000000001)*PI()/180</f>
        <v>0</v>
      </c>
      <c r="J18" s="153">
        <f>$C$5*$C$4*$C$15/COS(I18)</f>
        <v>51.683094143224963</v>
      </c>
      <c r="K18" s="153">
        <f>$D18/($C$4*$C$5*$C$15)-PI()/2/$C$5+$C$18+2*$K$13*$C$17/$C$5</f>
        <v>-3.233773768079605E-2</v>
      </c>
      <c r="L18" s="153">
        <f>TH(K18,0.00000000001)*PI()/180</f>
        <v>0</v>
      </c>
      <c r="M18" s="153">
        <f>$C$5*$C$4*$C$15/COS(L18)</f>
        <v>51.683094143224963</v>
      </c>
      <c r="N18" s="153">
        <f>$D18/($C$4*$C$5*$C$15)-PI()/2/$C$5+$C$18+2*$N$13*$C$17/$C$5</f>
        <v>-3.2531224548518978E-2</v>
      </c>
      <c r="O18" s="153">
        <f>TH(N18,0.00000000001)*PI()/180</f>
        <v>0</v>
      </c>
      <c r="P18" s="153">
        <f>$C$5*$C$4*$C$15/COS(O18)</f>
        <v>51.683094143224963</v>
      </c>
      <c r="Q18" s="153">
        <f>$D18/($C$4*$C$5*$C$15)-PI()/2/$C$5+$C$18+2*$Q$13*$C$17/$C$5</f>
        <v>-3.2724711416241906E-2</v>
      </c>
      <c r="R18" s="153">
        <f>TH(Q18,0.00000000001)*PI()/180</f>
        <v>0</v>
      </c>
      <c r="S18" s="153">
        <f>$C$5*$C$4*$C$15/COS(R18)</f>
        <v>51.683094143224963</v>
      </c>
      <c r="T18" s="153">
        <f>$D18/($C$4*$C$5*$C$15)-PI()/2/$C$5+$C$18+2*$T$13*$C$17/$C$5</f>
        <v>-3.2918198283964827E-2</v>
      </c>
      <c r="U18" s="153">
        <f>TH(T18,0.00000000001)*PI()/180</f>
        <v>0</v>
      </c>
      <c r="V18" s="153">
        <f>$C$5*$C$4*$C$15/COS(U18)</f>
        <v>51.683094143224963</v>
      </c>
      <c r="W18" s="153">
        <f>$D18/($C$4*$C$5*$C$15)-PI()/2/$C$5+$C$18+2*$W$13*$C$17/$C$5</f>
        <v>-3.3111685151687748E-2</v>
      </c>
      <c r="X18" s="153">
        <f>TH(W18,0.00000000001)*PI()/180</f>
        <v>0</v>
      </c>
      <c r="Y18" s="153">
        <f>$C$5*$C$4*$C$15/COS(X18)</f>
        <v>51.683094143224963</v>
      </c>
      <c r="Z18" s="153">
        <f>$D18/($C$4*$C$5*$C$15)-PI()/2/$C$5+$C$18+2*$Z$13*$C$17/$C$5</f>
        <v>-3.3305172019410675E-2</v>
      </c>
      <c r="AA18" s="153">
        <f>TH(Z18,0.00000000001)*PI()/180</f>
        <v>0</v>
      </c>
      <c r="AB18" s="153">
        <f>$C$5*$C$4*$C$15/COS(AA18)</f>
        <v>51.683094143224963</v>
      </c>
      <c r="AC18" s="141"/>
      <c r="AD18" s="25"/>
      <c r="AE18" s="25"/>
      <c r="AF18" s="25"/>
    </row>
    <row r="19" spans="1:32">
      <c r="A19" s="141"/>
      <c r="B19" s="141"/>
      <c r="C19" s="141"/>
      <c r="D19" s="141"/>
      <c r="E19" s="141"/>
      <c r="F19" s="141"/>
      <c r="G19" s="141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1"/>
      <c r="AD19" s="25"/>
      <c r="AE19" s="25"/>
      <c r="AF19" s="25"/>
    </row>
    <row r="20" spans="1:32">
      <c r="A20" s="141"/>
      <c r="B20" s="142" t="s">
        <v>142</v>
      </c>
      <c r="C20" s="141"/>
      <c r="D20" s="141"/>
      <c r="E20" s="141"/>
      <c r="F20" s="141"/>
      <c r="G20" s="141"/>
      <c r="H20" s="142" t="s">
        <v>143</v>
      </c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25"/>
      <c r="AE20" s="25"/>
      <c r="AF20" s="25"/>
    </row>
    <row r="21" spans="1:32">
      <c r="A21" s="141"/>
      <c r="B21" s="141" t="s">
        <v>144</v>
      </c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25"/>
      <c r="AE21" s="25"/>
      <c r="AF21" s="25"/>
    </row>
    <row r="22" spans="1:32">
      <c r="A22" s="141"/>
      <c r="B22" s="141" t="s">
        <v>145</v>
      </c>
      <c r="C22" s="141" t="s">
        <v>146</v>
      </c>
      <c r="D22" s="141"/>
      <c r="E22" s="141"/>
      <c r="F22" s="141"/>
      <c r="G22" s="141"/>
      <c r="H22" s="142" t="s">
        <v>147</v>
      </c>
      <c r="I22" s="141"/>
      <c r="J22" s="141"/>
      <c r="K22" s="155">
        <f>(PI()/2/$C$5-$C$18)-2*$E$13*$C$17/$C$5</f>
        <v>3.1950763945350208E-2</v>
      </c>
      <c r="L22" s="153">
        <f>(PI()/2/$C$5-$C$18)-2*$H$13*$C$17/$C$5</f>
        <v>3.2144250813073136E-2</v>
      </c>
      <c r="M22" s="153">
        <f>(PI()/2/$C$5-$C$18)-2*$K$13*$C$17/$C$5</f>
        <v>3.233773768079605E-2</v>
      </c>
      <c r="N22" s="153">
        <f>(PI()/2/$C$5-$C$18)-2*$N$13*$C$17/$C$5</f>
        <v>3.2531224548518978E-2</v>
      </c>
      <c r="O22" s="153">
        <f>(PI()/2/$C$5-$C$18)-2*$Q$13*$C$17/$C$5</f>
        <v>3.2724711416241906E-2</v>
      </c>
      <c r="P22" s="153">
        <f>(PI()/2/$C$5-$C$18)-2*$T$13*$C$17/$C$5</f>
        <v>3.2918198283964827E-2</v>
      </c>
      <c r="Q22" s="153">
        <f>(PI()/2/$C$5-$C$18)-2*$W$13*$C$17/$C$5</f>
        <v>3.3111685151687748E-2</v>
      </c>
      <c r="R22" s="153">
        <f>(PI()/2/$C$5-$C$18)-2*$Z$13*$C$17/$C$5</f>
        <v>3.3305172019410675E-2</v>
      </c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25"/>
      <c r="AE22" s="25"/>
      <c r="AF22" s="25"/>
    </row>
    <row r="23" spans="1:32">
      <c r="A23" s="141"/>
      <c r="B23" s="141" t="s">
        <v>148</v>
      </c>
      <c r="C23" s="141" t="s">
        <v>149</v>
      </c>
      <c r="D23" s="141"/>
      <c r="E23" s="141"/>
      <c r="F23" s="141"/>
      <c r="G23" s="141"/>
      <c r="H23" s="142" t="s">
        <v>150</v>
      </c>
      <c r="I23" s="141"/>
      <c r="J23" s="141"/>
      <c r="K23" s="155">
        <f>ACOS($C$5*$C$4*$C$15/(($C$5+2*$E$13)*$C$4))</f>
        <v>0.49424539133954126</v>
      </c>
      <c r="L23" s="153">
        <f>ACOS($C$5*$C$4*$C$15/(($C$5+2*$H$13)*$C$4))</f>
        <v>0.49331992128181112</v>
      </c>
      <c r="M23" s="153">
        <f>ACOS($C$5*$C$4*$C$15/(($C$5+2*$K$13)*$C$4))</f>
        <v>0.49239193036212536</v>
      </c>
      <c r="N23" s="153">
        <f>ACOS($C$5*$C$4*$C$15/(($C$5+2*$N$13)*$C$4))</f>
        <v>0.49146140329117016</v>
      </c>
      <c r="O23" s="153">
        <f>ACOS($C$5*$C$4*$C$15/(($C$5+2*$Q$13)*$C$4))</f>
        <v>0.49052832462266749</v>
      </c>
      <c r="P23" s="153">
        <f>ACOS($C$5*$C$4*$C$15/(($C$5+2*$T$13)*$C$4))</f>
        <v>0.48959267875107626</v>
      </c>
      <c r="Q23" s="153">
        <f>ACOS($C$5*$C$4*$C$15/(($C$5+2*$W$13)*$C$4))</f>
        <v>0.48865444990925178</v>
      </c>
      <c r="R23" s="153">
        <f>ACOS($C$5*$C$4*$C$15/(($C$5+2*$Z$13)*$C$4))</f>
        <v>0.48771362216605696</v>
      </c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25"/>
      <c r="AE23" s="25"/>
      <c r="AF23" s="25"/>
    </row>
    <row r="24" spans="1:32">
      <c r="A24" s="141"/>
      <c r="B24" s="141"/>
      <c r="C24" s="141"/>
      <c r="D24" s="141"/>
      <c r="E24" s="141"/>
      <c r="F24" s="141"/>
      <c r="G24" s="141"/>
      <c r="H24" s="142" t="s">
        <v>151</v>
      </c>
      <c r="I24" s="141"/>
      <c r="J24" s="141"/>
      <c r="K24" s="155">
        <f t="shared" ref="K24:R24" si="4">TAN(K23)+K22</f>
        <v>0.57080453756184246</v>
      </c>
      <c r="L24" s="153">
        <f t="shared" si="4"/>
        <v>0.56980442664726738</v>
      </c>
      <c r="M24" s="153">
        <f t="shared" si="4"/>
        <v>0.56880225662733086</v>
      </c>
      <c r="N24" s="153">
        <f t="shared" si="4"/>
        <v>0.56779801370339866</v>
      </c>
      <c r="O24" s="153">
        <f t="shared" si="4"/>
        <v>0.56679168392902424</v>
      </c>
      <c r="P24" s="153">
        <f t="shared" si="4"/>
        <v>0.56578325320774225</v>
      </c>
      <c r="Q24" s="153">
        <f t="shared" si="4"/>
        <v>0.56477270729082218</v>
      </c>
      <c r="R24" s="153">
        <f t="shared" si="4"/>
        <v>0.5637600317749748</v>
      </c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25"/>
      <c r="AE24" s="25"/>
      <c r="AF24" s="25"/>
    </row>
    <row r="25" spans="1:32">
      <c r="A25" s="141"/>
      <c r="B25" s="141"/>
      <c r="C25" s="141"/>
      <c r="D25" s="141"/>
      <c r="E25" s="141"/>
      <c r="F25" s="141"/>
      <c r="G25" s="141"/>
      <c r="H25" s="142" t="s">
        <v>152</v>
      </c>
      <c r="I25" s="141"/>
      <c r="J25" s="141"/>
      <c r="K25" s="156">
        <f t="shared" ref="K25:R25" si="5">$C$5*$C$4*$C$15*((TAN(K24)-K24)+K22)</f>
        <v>5.3363021232440939</v>
      </c>
      <c r="L25" s="147">
        <f t="shared" si="5"/>
        <v>5.3250377572166094</v>
      </c>
      <c r="M25" s="147">
        <f t="shared" si="5"/>
        <v>5.3138233306781109</v>
      </c>
      <c r="N25" s="147">
        <f t="shared" si="5"/>
        <v>5.3026588038825571</v>
      </c>
      <c r="O25" s="147">
        <f t="shared" si="5"/>
        <v>5.2915441375030117</v>
      </c>
      <c r="P25" s="147">
        <f t="shared" si="5"/>
        <v>5.2804792926339443</v>
      </c>
      <c r="Q25" s="147">
        <f t="shared" si="5"/>
        <v>5.2694642307935924</v>
      </c>
      <c r="R25" s="147">
        <f t="shared" si="5"/>
        <v>5.2584989139262897</v>
      </c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25"/>
      <c r="AE25" s="25"/>
      <c r="AF25" s="25"/>
    </row>
    <row r="26" spans="1:32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25"/>
      <c r="AE26" s="25"/>
      <c r="AF26" s="25"/>
    </row>
    <row r="27" spans="1:32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25"/>
      <c r="AE27" s="25"/>
      <c r="AF27" s="25"/>
    </row>
    <row r="28" spans="1:32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25"/>
      <c r="AE28" s="25"/>
      <c r="AF28" s="25"/>
    </row>
    <row r="29" spans="1:3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</row>
    <row r="30" spans="1:3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</row>
    <row r="31" spans="1:3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</row>
    <row r="32" spans="1:3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</row>
    <row r="33" spans="1:3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</row>
    <row r="34" spans="1:3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</row>
    <row r="35" spans="1:3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</row>
    <row r="36" spans="1:3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</row>
    <row r="37" spans="1:32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</row>
    <row r="38" spans="1:32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</row>
    <row r="39" spans="1:32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</row>
  </sheetData>
  <sheetProtection sheet="1" objects="1" scenarios="1"/>
  <phoneticPr fontId="44"/>
  <pageMargins left="0.78700000000000003" right="0.78700000000000003" top="0.98399999999999999" bottom="0.98399999999999999" header="0.51200000000000001" footer="0.51200000000000001"/>
  <pageSetup paperSize="8" orientation="portrait" horizontalDpi="4294967293" verticalDpi="0" r:id="rId1"/>
  <headerFooter alignWithMargins="0">
    <oddHeader>&amp;A</oddHeader>
    <oddFooter>- &amp;P -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Line="0" autoPict="0" macro="[0]!入力シートへ戻る">
                <anchor moveWithCells="1" sizeWithCells="1">
                  <from>
                    <xdr:col>7</xdr:col>
                    <xdr:colOff>419100</xdr:colOff>
                    <xdr:row>0</xdr:row>
                    <xdr:rowOff>152400</xdr:rowOff>
                  </from>
                  <to>
                    <xdr:col>9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4:E30"/>
  <sheetViews>
    <sheetView workbookViewId="0">
      <selection activeCell="C13" sqref="C13"/>
    </sheetView>
  </sheetViews>
  <sheetFormatPr defaultRowHeight="13.5"/>
  <cols>
    <col min="2" max="2" width="27" customWidth="1"/>
    <col min="3" max="3" width="11.875" customWidth="1"/>
  </cols>
  <sheetData>
    <row r="4" spans="2:5" ht="14.25" thickBot="1"/>
    <row r="5" spans="2:5" ht="14.25" thickBot="1">
      <c r="B5" s="268" t="s">
        <v>177</v>
      </c>
      <c r="C5" s="269" t="str">
        <f>貼付けｼｰﾄ!A1</f>
        <v>14B-17151-00</v>
      </c>
    </row>
    <row r="6" spans="2:5" ht="14.25" thickBot="1">
      <c r="B6" s="270" t="s">
        <v>200</v>
      </c>
      <c r="C6" s="269">
        <f>入力ｼｰﾄ!D18</f>
        <v>4</v>
      </c>
    </row>
    <row r="7" spans="2:5">
      <c r="B7" s="271" t="s">
        <v>97</v>
      </c>
      <c r="C7" s="272">
        <f>入力ｼｰﾄ!H8</f>
        <v>20</v>
      </c>
    </row>
    <row r="8" spans="2:5">
      <c r="B8" s="273" t="s">
        <v>201</v>
      </c>
      <c r="C8" s="274">
        <f>入力ｼｰﾄ!H9</f>
        <v>22</v>
      </c>
      <c r="D8" s="196"/>
    </row>
    <row r="9" spans="2:5">
      <c r="B9" s="273" t="s">
        <v>202</v>
      </c>
      <c r="C9" s="274">
        <f>入力ｼｰﾄ!N11</f>
        <v>0</v>
      </c>
    </row>
    <row r="10" spans="2:5">
      <c r="B10" s="273" t="s">
        <v>203</v>
      </c>
      <c r="C10" s="274">
        <f>入力ｼｰﾄ!N10</f>
        <v>0</v>
      </c>
      <c r="D10" s="196"/>
    </row>
    <row r="11" spans="2:5">
      <c r="B11" s="273" t="s">
        <v>204</v>
      </c>
      <c r="C11" s="274">
        <f>入力ｼｰﾄ!N7</f>
        <v>62.9</v>
      </c>
    </row>
    <row r="12" spans="2:5">
      <c r="B12" s="273" t="s">
        <v>205</v>
      </c>
      <c r="C12" s="275">
        <v>7.5000000000000002E-4</v>
      </c>
      <c r="D12" s="276" t="s">
        <v>206</v>
      </c>
    </row>
    <row r="13" spans="2:5">
      <c r="B13" s="273" t="s">
        <v>167</v>
      </c>
      <c r="C13" s="277">
        <f>IF(入力ｼｰﾄ!H7&lt;2.5,130,IF(入力ｼｰﾄ!H9&lt;=26,100,130))</f>
        <v>100</v>
      </c>
    </row>
    <row r="14" spans="2:5" ht="14.25" thickBot="1">
      <c r="B14" s="278" t="s">
        <v>207</v>
      </c>
      <c r="C14" s="279">
        <v>7.0000000000000007E-2</v>
      </c>
    </row>
    <row r="15" spans="2:5">
      <c r="B15" s="280" t="s">
        <v>208</v>
      </c>
      <c r="C15" s="281" t="e">
        <f>C17*C19</f>
        <v>#DIV/0!</v>
      </c>
      <c r="D15" s="282" t="s">
        <v>209</v>
      </c>
      <c r="E15" t="e">
        <f>IF(C15&gt;1000,"1000回転を超えています","")</f>
        <v>#DIV/0!</v>
      </c>
    </row>
    <row r="16" spans="2:5">
      <c r="B16" s="283" t="s">
        <v>210</v>
      </c>
      <c r="C16" s="284">
        <f>C13*1000/C11/PI()</f>
        <v>506.05705275642396</v>
      </c>
      <c r="E16" t="str">
        <f>IF(C16&gt;1000,"1000回転を超えています","")</f>
        <v/>
      </c>
    </row>
    <row r="17" spans="2:4">
      <c r="B17" s="283" t="s">
        <v>168</v>
      </c>
      <c r="C17" s="284" t="e">
        <f>C13*1000/PI()/C10</f>
        <v>#DIV/0!</v>
      </c>
    </row>
    <row r="18" spans="2:4">
      <c r="B18" s="283" t="s">
        <v>211</v>
      </c>
      <c r="C18" s="284" t="e">
        <f>ROUNDUP(C16/C19,0)</f>
        <v>#DIV/0!</v>
      </c>
    </row>
    <row r="19" spans="2:4">
      <c r="B19" s="283" t="s">
        <v>212</v>
      </c>
      <c r="C19" s="285">
        <f>C9/C8</f>
        <v>0</v>
      </c>
    </row>
    <row r="20" spans="2:4">
      <c r="B20" s="283" t="s">
        <v>189</v>
      </c>
      <c r="C20" s="285">
        <f>C14/2/SIN(RADIANS(C7))+0.04</f>
        <v>0.14233315400570806</v>
      </c>
    </row>
    <row r="21" spans="2:4">
      <c r="B21" s="283" t="s">
        <v>208</v>
      </c>
      <c r="C21" s="286" t="e">
        <f>IF(C16&gt;C15,C15,C16)</f>
        <v>#DIV/0!</v>
      </c>
    </row>
    <row r="22" spans="2:4">
      <c r="B22" s="273" t="s">
        <v>213</v>
      </c>
      <c r="C22" s="285" t="e">
        <f>(IF(入力ｼｰﾄ!N8="",30,入力ｼｰﾄ!N8))*60*C8/C9/C25</f>
        <v>#DIV/0!</v>
      </c>
    </row>
    <row r="23" spans="2:4" ht="14.25" thickBot="1">
      <c r="B23" s="273" t="s">
        <v>214</v>
      </c>
      <c r="C23" s="287" t="e">
        <f>(IF(入力ｼｰﾄ!N8="",30,入力ｼｰﾄ!N8))*2*60*C8/C9/C25</f>
        <v>#DIV/0!</v>
      </c>
    </row>
    <row r="24" spans="2:4">
      <c r="B24" s="280" t="s">
        <v>189</v>
      </c>
      <c r="C24" s="272">
        <f>ROUNDUP(C20,2)</f>
        <v>0.15000000000000002</v>
      </c>
      <c r="D24" s="288" t="s">
        <v>215</v>
      </c>
    </row>
    <row r="25" spans="2:4">
      <c r="B25" s="283" t="s">
        <v>168</v>
      </c>
      <c r="C25" s="289" t="e">
        <f>IF(C18&gt;C17,C17,C18)</f>
        <v>#DIV/0!</v>
      </c>
    </row>
    <row r="26" spans="2:4">
      <c r="B26" s="283" t="s">
        <v>59</v>
      </c>
      <c r="C26" s="290" t="e">
        <f>ROUNDUP(C9/C8*C25*C12,2)</f>
        <v>#DIV/0!</v>
      </c>
    </row>
    <row r="27" spans="2:4">
      <c r="B27" s="283" t="s">
        <v>213</v>
      </c>
      <c r="C27" s="289" t="e">
        <f>ROUNDUP(C22,)</f>
        <v>#DIV/0!</v>
      </c>
    </row>
    <row r="28" spans="2:4">
      <c r="B28" s="283" t="s">
        <v>216</v>
      </c>
      <c r="C28" s="289" t="e">
        <f>ROUNDUP((IF(入力ｼｰﾄ!N8="",30,入力ｼｰﾄ!N8))*60*C8/C9/C25,)</f>
        <v>#DIV/0!</v>
      </c>
    </row>
    <row r="29" spans="2:4">
      <c r="B29" s="283" t="s">
        <v>214</v>
      </c>
      <c r="C29" s="289" t="e">
        <f>ROUNDUP(C23,)</f>
        <v>#DIV/0!</v>
      </c>
    </row>
    <row r="30" spans="2:4" ht="14.25" thickBot="1">
      <c r="B30" s="225" t="s">
        <v>217</v>
      </c>
      <c r="C30" s="291">
        <v>0.02</v>
      </c>
      <c r="D30" t="s">
        <v>218</v>
      </c>
    </row>
  </sheetData>
  <phoneticPr fontId="44"/>
  <pageMargins left="0.78700000000000003" right="0.78700000000000003" top="0.98399999999999999" bottom="0.98399999999999999" header="0.51200000000000001" footer="0.51200000000000001"/>
  <pageSetup paperSize="9" scale="200" orientation="portrait" horizontalDpi="4294967292" verticalDpi="0" r:id="rId1"/>
  <headerFooter alignWithMargins="0">
    <oddHeader>&amp;A</oddHeader>
    <oddFooter>- &amp;P -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D4:AH34"/>
  <sheetViews>
    <sheetView workbookViewId="0">
      <selection activeCell="F5" sqref="F5"/>
    </sheetView>
  </sheetViews>
  <sheetFormatPr defaultRowHeight="13.5"/>
  <cols>
    <col min="1" max="3" width="2.875" customWidth="1"/>
    <col min="4" max="4" width="4.625" customWidth="1"/>
    <col min="5" max="5" width="5" customWidth="1"/>
    <col min="6" max="14" width="6.125" customWidth="1"/>
    <col min="15" max="15" width="5.25" customWidth="1"/>
    <col min="16" max="33" width="2.875" customWidth="1"/>
    <col min="34" max="34" width="3.875" customWidth="1"/>
  </cols>
  <sheetData>
    <row r="4" spans="4:34" ht="14.25" thickBot="1">
      <c r="D4" s="98" t="s">
        <v>177</v>
      </c>
      <c r="F4" s="209" t="str">
        <f>貼付けｼｰﾄ!A1</f>
        <v>14B-17151-00</v>
      </c>
    </row>
    <row r="5" spans="4:34" ht="15" thickBot="1">
      <c r="F5" s="210" t="s">
        <v>178</v>
      </c>
      <c r="G5" s="211"/>
      <c r="H5" s="211"/>
      <c r="I5" s="211"/>
      <c r="J5" s="212"/>
      <c r="K5" s="213"/>
      <c r="L5" s="213"/>
      <c r="M5" s="213"/>
      <c r="N5" s="213"/>
      <c r="O5" s="214"/>
      <c r="P5" s="215" t="s">
        <v>179</v>
      </c>
      <c r="Q5" s="213"/>
      <c r="R5" s="213"/>
      <c r="S5" s="214"/>
      <c r="T5" s="213"/>
      <c r="U5" s="213"/>
      <c r="V5" s="213"/>
      <c r="W5" s="213"/>
      <c r="X5" s="213"/>
      <c r="Y5" s="213"/>
      <c r="Z5" s="213"/>
      <c r="AA5" s="213"/>
      <c r="AB5" s="213"/>
      <c r="AC5" s="213"/>
      <c r="AD5" s="213"/>
      <c r="AE5" s="213"/>
      <c r="AF5" s="213"/>
      <c r="AG5" s="213"/>
      <c r="AH5" s="214"/>
    </row>
    <row r="6" spans="4:34" ht="14.25" thickBot="1">
      <c r="F6" s="216" t="s">
        <v>180</v>
      </c>
      <c r="G6" s="217"/>
      <c r="H6" s="217"/>
      <c r="I6" s="217"/>
      <c r="J6" s="218"/>
      <c r="K6" s="217"/>
      <c r="L6" s="217"/>
      <c r="M6" s="217"/>
      <c r="N6" s="217"/>
      <c r="O6" s="218"/>
      <c r="P6" s="216" t="s">
        <v>181</v>
      </c>
      <c r="Q6" s="217"/>
      <c r="R6" s="217"/>
      <c r="S6" s="218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20"/>
    </row>
    <row r="7" spans="4:34" ht="21.75" thickBot="1">
      <c r="D7" s="190" t="s">
        <v>182</v>
      </c>
      <c r="E7" s="221" t="s">
        <v>183</v>
      </c>
      <c r="F7" s="222">
        <v>1E-4</v>
      </c>
      <c r="G7" s="223">
        <v>2.0000000000000001E-4</v>
      </c>
      <c r="H7" s="223">
        <v>2.9999999999999997E-4</v>
      </c>
      <c r="I7" s="223">
        <v>4.0000000000000002E-4</v>
      </c>
      <c r="J7" s="223">
        <v>5.0000000000000001E-4</v>
      </c>
      <c r="K7" s="223">
        <v>6.0000000000000006E-4</v>
      </c>
      <c r="L7" s="223">
        <v>7.000000000000001E-4</v>
      </c>
      <c r="M7" s="223">
        <v>8.0000000000000004E-4</v>
      </c>
      <c r="N7" s="223">
        <v>9.0000000000000008E-4</v>
      </c>
      <c r="O7" s="224">
        <v>1E-3</v>
      </c>
      <c r="P7" s="225">
        <v>10</v>
      </c>
      <c r="Q7" s="226">
        <v>15</v>
      </c>
      <c r="R7" s="226">
        <v>20</v>
      </c>
      <c r="S7" s="226">
        <v>25</v>
      </c>
      <c r="T7" s="226">
        <v>30</v>
      </c>
      <c r="U7" s="226">
        <v>35</v>
      </c>
      <c r="V7" s="226">
        <v>40</v>
      </c>
      <c r="W7" s="226">
        <v>45</v>
      </c>
      <c r="X7" s="226">
        <v>50</v>
      </c>
      <c r="Y7" s="226">
        <v>55</v>
      </c>
      <c r="Z7" s="226">
        <v>60</v>
      </c>
      <c r="AA7" s="226">
        <v>65</v>
      </c>
      <c r="AB7" s="226">
        <v>70</v>
      </c>
      <c r="AC7" s="226">
        <v>75</v>
      </c>
      <c r="AD7" s="226">
        <v>80</v>
      </c>
      <c r="AE7" s="226">
        <v>85</v>
      </c>
      <c r="AF7" s="226">
        <v>90</v>
      </c>
      <c r="AG7" s="226">
        <v>95</v>
      </c>
      <c r="AH7" s="227">
        <v>100</v>
      </c>
    </row>
    <row r="8" spans="4:34" ht="20.100000000000001" customHeight="1">
      <c r="D8" s="228">
        <v>170</v>
      </c>
      <c r="E8" s="229" t="e">
        <f>ROUNDUP(D8*1000/計算結果!$C$11/PI()/計算結果!$C$19,)</f>
        <v>#DIV/0!</v>
      </c>
      <c r="F8" s="230" t="e">
        <f>ROUNDUP(計算結果!$C$19*$E8*F$7,2)</f>
        <v>#DIV/0!</v>
      </c>
      <c r="G8" s="231" t="e">
        <f>ROUNDUP(計算結果!$C$19*$E8*G$7,2)</f>
        <v>#DIV/0!</v>
      </c>
      <c r="H8" s="231" t="e">
        <f>ROUNDUP(計算結果!$C$19*$E8*H$7,2)</f>
        <v>#DIV/0!</v>
      </c>
      <c r="I8" s="231" t="e">
        <f>ROUNDUP(計算結果!$C$19*$E8*I$7,2)</f>
        <v>#DIV/0!</v>
      </c>
      <c r="J8" s="231" t="e">
        <f>ROUNDUP(計算結果!$C$19*$E8*J$7,2)</f>
        <v>#DIV/0!</v>
      </c>
      <c r="K8" s="231" t="e">
        <f>ROUNDUP(計算結果!$C$19*$E8*K$7,2)</f>
        <v>#DIV/0!</v>
      </c>
      <c r="L8" s="231" t="e">
        <f>ROUNDUP(計算結果!$C$19*$E8*L$7,2)</f>
        <v>#DIV/0!</v>
      </c>
      <c r="M8" s="231" t="e">
        <f>ROUNDUP(計算結果!$C$19*$E8*M$7,2)</f>
        <v>#DIV/0!</v>
      </c>
      <c r="N8" s="231" t="e">
        <f>ROUNDUP(計算結果!$C$19*$E8*N$7,2)</f>
        <v>#DIV/0!</v>
      </c>
      <c r="O8" s="232" t="e">
        <f>ROUNDUP(計算結果!$C$19*$E8*O$7,2)</f>
        <v>#DIV/0!</v>
      </c>
      <c r="P8" s="233" t="e">
        <f>ROUNDUP(P$7*60*計算結果!$C$8/$E8/計算結果!$C$9,)</f>
        <v>#DIV/0!</v>
      </c>
      <c r="Q8" s="234" t="e">
        <f>ROUNDUP(Q$7*60*計算結果!$C$8/$E8/計算結果!$C$9,)</f>
        <v>#DIV/0!</v>
      </c>
      <c r="R8" s="234" t="e">
        <f>ROUNDUP(R$7*60*計算結果!$C$8/$E8/計算結果!$C$9,)</f>
        <v>#DIV/0!</v>
      </c>
      <c r="S8" s="234" t="e">
        <f>ROUNDUP(S$7*60*計算結果!$C$8/$E8/計算結果!$C$9,)</f>
        <v>#DIV/0!</v>
      </c>
      <c r="T8" s="234" t="e">
        <f>ROUNDUP(T$7*60*計算結果!$C$8/$E8/計算結果!$C$9,)</f>
        <v>#DIV/0!</v>
      </c>
      <c r="U8" s="234" t="e">
        <f>ROUNDUP(U$7*60*計算結果!$C$8/$E8/計算結果!$C$9,)</f>
        <v>#DIV/0!</v>
      </c>
      <c r="V8" s="234" t="e">
        <f>ROUNDUP(V$7*60*計算結果!$C$8/$E8/計算結果!$C$9,)</f>
        <v>#DIV/0!</v>
      </c>
      <c r="W8" s="234" t="e">
        <f>ROUNDUP(W$7*60*計算結果!$C$8/$E8/計算結果!$C$9,)</f>
        <v>#DIV/0!</v>
      </c>
      <c r="X8" s="234" t="e">
        <f>ROUNDUP(X$7*60*計算結果!$C$8/$E8/計算結果!$C$9,)</f>
        <v>#DIV/0!</v>
      </c>
      <c r="Y8" s="234" t="e">
        <f>ROUNDUP(Y$7*60*計算結果!$C$8/$E8/計算結果!$C$9,)</f>
        <v>#DIV/0!</v>
      </c>
      <c r="Z8" s="234" t="e">
        <f>ROUNDUP(Z$7*60*計算結果!$C$8/$E8/計算結果!$C$9,)</f>
        <v>#DIV/0!</v>
      </c>
      <c r="AA8" s="234" t="e">
        <f>ROUNDUP(AA$7*60*計算結果!$C$8/$E8/計算結果!$C$9,)</f>
        <v>#DIV/0!</v>
      </c>
      <c r="AB8" s="234" t="e">
        <f>ROUNDUP(AB$7*60*計算結果!$C$8/$E8/計算結果!$C$9,)</f>
        <v>#DIV/0!</v>
      </c>
      <c r="AC8" s="234" t="e">
        <f>ROUNDUP(AC$7*60*計算結果!$C$8/$E8/計算結果!$C$9,)</f>
        <v>#DIV/0!</v>
      </c>
      <c r="AD8" s="234" t="e">
        <f>ROUNDUP(AD$7*60*計算結果!$C$8/$E8/計算結果!$C$9,)</f>
        <v>#DIV/0!</v>
      </c>
      <c r="AE8" s="234" t="e">
        <f>ROUNDUP(AE$7*60*計算結果!$C$8/$E8/計算結果!$C$9,)</f>
        <v>#DIV/0!</v>
      </c>
      <c r="AF8" s="234" t="e">
        <f>ROUNDUP(AF$7*60*計算結果!$C$8/$E8/計算結果!$C$9,)</f>
        <v>#DIV/0!</v>
      </c>
      <c r="AG8" s="234" t="e">
        <f>ROUNDUP(AG$7*60*計算結果!$C$8/$E8/計算結果!$C$9,)</f>
        <v>#DIV/0!</v>
      </c>
      <c r="AH8" s="235" t="e">
        <f>ROUNDUP(AH$7*60*計算結果!$C$8/$E8/計算結果!$C$9,)</f>
        <v>#DIV/0!</v>
      </c>
    </row>
    <row r="9" spans="4:34" ht="20.100000000000001" customHeight="1">
      <c r="D9" s="236">
        <v>160</v>
      </c>
      <c r="E9" s="237" t="e">
        <f>ROUNDUP(D9*1000/計算結果!$C$11/PI()/計算結果!$C$19,)</f>
        <v>#DIV/0!</v>
      </c>
      <c r="F9" s="238" t="e">
        <f>ROUNDUP(計算結果!$C$19*$E9*F$7,2)</f>
        <v>#DIV/0!</v>
      </c>
      <c r="G9" s="239" t="e">
        <f>ROUNDUP(計算結果!$C$19*$E9*G$7,2)</f>
        <v>#DIV/0!</v>
      </c>
      <c r="H9" s="239" t="e">
        <f>ROUNDUP(計算結果!$C$19*$E9*H$7,2)</f>
        <v>#DIV/0!</v>
      </c>
      <c r="I9" s="239" t="e">
        <f>ROUNDUP(計算結果!$C$19*$E9*I$7,2)</f>
        <v>#DIV/0!</v>
      </c>
      <c r="J9" s="239" t="e">
        <f>ROUNDUP(計算結果!$C$19*$E9*J$7,2)</f>
        <v>#DIV/0!</v>
      </c>
      <c r="K9" s="239" t="e">
        <f>ROUNDUP(計算結果!$C$19*$E9*K$7,2)</f>
        <v>#DIV/0!</v>
      </c>
      <c r="L9" s="239" t="e">
        <f>ROUNDUP(計算結果!$C$19*$E9*L$7,2)</f>
        <v>#DIV/0!</v>
      </c>
      <c r="M9" s="239" t="e">
        <f>ROUNDUP(計算結果!$C$19*$E9*M$7,2)</f>
        <v>#DIV/0!</v>
      </c>
      <c r="N9" s="239" t="e">
        <f>ROUNDUP(計算結果!$C$19*$E9*N$7,2)</f>
        <v>#DIV/0!</v>
      </c>
      <c r="O9" s="240" t="e">
        <f>ROUNDUP(計算結果!$C$19*$E9*O$7,2)</f>
        <v>#DIV/0!</v>
      </c>
      <c r="P9" s="241" t="e">
        <f>ROUNDUP(P$7*60*計算結果!$C$8/$E9/計算結果!$C$9,)</f>
        <v>#DIV/0!</v>
      </c>
      <c r="Q9" s="242" t="e">
        <f>ROUNDUP(Q$7*60*計算結果!$C$8/$E9/計算結果!$C$9,)</f>
        <v>#DIV/0!</v>
      </c>
      <c r="R9" s="242" t="e">
        <f>ROUNDUP(R$7*60*計算結果!$C$8/$E9/計算結果!$C$9,)</f>
        <v>#DIV/0!</v>
      </c>
      <c r="S9" s="242" t="e">
        <f>ROUNDUP(S$7*60*計算結果!$C$8/$E9/計算結果!$C$9,)</f>
        <v>#DIV/0!</v>
      </c>
      <c r="T9" s="242" t="e">
        <f>ROUNDUP(T$7*60*計算結果!$C$8/$E9/計算結果!$C$9,)</f>
        <v>#DIV/0!</v>
      </c>
      <c r="U9" s="242" t="e">
        <f>ROUNDUP(U$7*60*計算結果!$C$8/$E9/計算結果!$C$9,)</f>
        <v>#DIV/0!</v>
      </c>
      <c r="V9" s="242" t="e">
        <f>ROUNDUP(V$7*60*計算結果!$C$8/$E9/計算結果!$C$9,)</f>
        <v>#DIV/0!</v>
      </c>
      <c r="W9" s="242" t="e">
        <f>ROUNDUP(W$7*60*計算結果!$C$8/$E9/計算結果!$C$9,)</f>
        <v>#DIV/0!</v>
      </c>
      <c r="X9" s="242" t="e">
        <f>ROUNDUP(X$7*60*計算結果!$C$8/$E9/計算結果!$C$9,)</f>
        <v>#DIV/0!</v>
      </c>
      <c r="Y9" s="242" t="e">
        <f>ROUNDUP(Y$7*60*計算結果!$C$8/$E9/計算結果!$C$9,)</f>
        <v>#DIV/0!</v>
      </c>
      <c r="Z9" s="242" t="e">
        <f>ROUNDUP(Z$7*60*計算結果!$C$8/$E9/計算結果!$C$9,)</f>
        <v>#DIV/0!</v>
      </c>
      <c r="AA9" s="242" t="e">
        <f>ROUNDUP(AA$7*60*計算結果!$C$8/$E9/計算結果!$C$9,)</f>
        <v>#DIV/0!</v>
      </c>
      <c r="AB9" s="242" t="e">
        <f>ROUNDUP(AB$7*60*計算結果!$C$8/$E9/計算結果!$C$9,)</f>
        <v>#DIV/0!</v>
      </c>
      <c r="AC9" s="242" t="e">
        <f>ROUNDUP(AC$7*60*計算結果!$C$8/$E9/計算結果!$C$9,)</f>
        <v>#DIV/0!</v>
      </c>
      <c r="AD9" s="242" t="e">
        <f>ROUNDUP(AD$7*60*計算結果!$C$8/$E9/計算結果!$C$9,)</f>
        <v>#DIV/0!</v>
      </c>
      <c r="AE9" s="242" t="e">
        <f>ROUNDUP(AE$7*60*計算結果!$C$8/$E9/計算結果!$C$9,)</f>
        <v>#DIV/0!</v>
      </c>
      <c r="AF9" s="242" t="e">
        <f>ROUNDUP(AF$7*60*計算結果!$C$8/$E9/計算結果!$C$9,)</f>
        <v>#DIV/0!</v>
      </c>
      <c r="AG9" s="242" t="e">
        <f>ROUNDUP(AG$7*60*計算結果!$C$8/$E9/計算結果!$C$9,)</f>
        <v>#DIV/0!</v>
      </c>
      <c r="AH9" s="243" t="e">
        <f>ROUNDUP(AH$7*60*計算結果!$C$8/$E9/計算結果!$C$9,)</f>
        <v>#DIV/0!</v>
      </c>
    </row>
    <row r="10" spans="4:34" ht="20.100000000000001" customHeight="1">
      <c r="D10" s="236">
        <v>150</v>
      </c>
      <c r="E10" s="237" t="e">
        <f>ROUNDUP(D10*1000/計算結果!$C$11/PI()/計算結果!$C$19,)</f>
        <v>#DIV/0!</v>
      </c>
      <c r="F10" s="239" t="e">
        <f>ROUNDUP(計算結果!$C$19*$E10*F$7,2)</f>
        <v>#DIV/0!</v>
      </c>
      <c r="G10" s="239" t="e">
        <f>ROUNDUP(計算結果!$C$19*$E10*G$7,2)</f>
        <v>#DIV/0!</v>
      </c>
      <c r="H10" s="239" t="e">
        <f>ROUNDUP(計算結果!$C$19*$E10*H$7,2)</f>
        <v>#DIV/0!</v>
      </c>
      <c r="I10" s="239" t="e">
        <f>ROUNDUP(計算結果!$C$19*$E10*I$7,2)</f>
        <v>#DIV/0!</v>
      </c>
      <c r="J10" s="239" t="e">
        <f>ROUNDUP(計算結果!$C$19*$E10*J$7,2)</f>
        <v>#DIV/0!</v>
      </c>
      <c r="K10" s="239" t="e">
        <f>ROUNDUP(計算結果!$C$19*$E10*K$7,2)</f>
        <v>#DIV/0!</v>
      </c>
      <c r="L10" s="239" t="e">
        <f>ROUNDUP(計算結果!$C$19*$E10*L$7,2)</f>
        <v>#DIV/0!</v>
      </c>
      <c r="M10" s="239" t="e">
        <f>ROUNDUP(計算結果!$C$19*$E10*M$7,2)</f>
        <v>#DIV/0!</v>
      </c>
      <c r="N10" s="239" t="e">
        <f>ROUNDUP(計算結果!$C$19*$E10*N$7,2)</f>
        <v>#DIV/0!</v>
      </c>
      <c r="O10" s="240" t="e">
        <f>ROUNDUP(計算結果!$C$19*$E10*O$7,2)</f>
        <v>#DIV/0!</v>
      </c>
      <c r="P10" s="242" t="e">
        <f>ROUNDUP(P$7*60*計算結果!$C$8/$E10/計算結果!$C$9,)</f>
        <v>#DIV/0!</v>
      </c>
      <c r="Q10" s="242" t="e">
        <f>ROUNDUP(Q$7*60*計算結果!$C$8/$E10/計算結果!$C$9,)</f>
        <v>#DIV/0!</v>
      </c>
      <c r="R10" s="242" t="e">
        <f>ROUNDUP(R$7*60*計算結果!$C$8/$E10/計算結果!$C$9,)</f>
        <v>#DIV/0!</v>
      </c>
      <c r="S10" s="242" t="e">
        <f>ROUNDUP(S$7*60*計算結果!$C$8/$E10/計算結果!$C$9,)</f>
        <v>#DIV/0!</v>
      </c>
      <c r="T10" s="242" t="e">
        <f>ROUNDUP(T$7*60*計算結果!$C$8/$E10/計算結果!$C$9,)</f>
        <v>#DIV/0!</v>
      </c>
      <c r="U10" s="242" t="e">
        <f>ROUNDUP(U$7*60*計算結果!$C$8/$E10/計算結果!$C$9,)</f>
        <v>#DIV/0!</v>
      </c>
      <c r="V10" s="242" t="e">
        <f>ROUNDUP(V$7*60*計算結果!$C$8/$E10/計算結果!$C$9,)</f>
        <v>#DIV/0!</v>
      </c>
      <c r="W10" s="242" t="e">
        <f>ROUNDUP(W$7*60*計算結果!$C$8/$E10/計算結果!$C$9,)</f>
        <v>#DIV/0!</v>
      </c>
      <c r="X10" s="242" t="e">
        <f>ROUNDUP(X$7*60*計算結果!$C$8/$E10/計算結果!$C$9,)</f>
        <v>#DIV/0!</v>
      </c>
      <c r="Y10" s="242" t="e">
        <f>ROUNDUP(Y$7*60*計算結果!$C$8/$E10/計算結果!$C$9,)</f>
        <v>#DIV/0!</v>
      </c>
      <c r="Z10" s="242" t="e">
        <f>ROUNDUP(Z$7*60*計算結果!$C$8/$E10/計算結果!$C$9,)</f>
        <v>#DIV/0!</v>
      </c>
      <c r="AA10" s="242" t="e">
        <f>ROUNDUP(AA$7*60*計算結果!$C$8/$E10/計算結果!$C$9,)</f>
        <v>#DIV/0!</v>
      </c>
      <c r="AB10" s="242" t="e">
        <f>ROUNDUP(AB$7*60*計算結果!$C$8/$E10/計算結果!$C$9,)</f>
        <v>#DIV/0!</v>
      </c>
      <c r="AC10" s="242" t="e">
        <f>ROUNDUP(AC$7*60*計算結果!$C$8/$E10/計算結果!$C$9,)</f>
        <v>#DIV/0!</v>
      </c>
      <c r="AD10" s="242" t="e">
        <f>ROUNDUP(AD$7*60*計算結果!$C$8/$E10/計算結果!$C$9,)</f>
        <v>#DIV/0!</v>
      </c>
      <c r="AE10" s="242" t="e">
        <f>ROUNDUP(AE$7*60*計算結果!$C$8/$E10/計算結果!$C$9,)</f>
        <v>#DIV/0!</v>
      </c>
      <c r="AF10" s="242" t="e">
        <f>ROUNDUP(AF$7*60*計算結果!$C$8/$E10/計算結果!$C$9,)</f>
        <v>#DIV/0!</v>
      </c>
      <c r="AG10" s="242" t="e">
        <f>ROUNDUP(AG$7*60*計算結果!$C$8/$E10/計算結果!$C$9,)</f>
        <v>#DIV/0!</v>
      </c>
      <c r="AH10" s="243" t="e">
        <f>ROUNDUP(AH$7*60*計算結果!$C$8/$E10/計算結果!$C$9,)</f>
        <v>#DIV/0!</v>
      </c>
    </row>
    <row r="11" spans="4:34" ht="20.100000000000001" customHeight="1">
      <c r="D11" s="236">
        <v>140</v>
      </c>
      <c r="E11" s="237" t="e">
        <f>ROUNDUP(D11*1000/計算結果!$C$11/PI()/計算結果!$C$19,)</f>
        <v>#DIV/0!</v>
      </c>
      <c r="F11" s="239" t="e">
        <f>ROUNDUP(計算結果!$C$19*$E11*F$7,2)</f>
        <v>#DIV/0!</v>
      </c>
      <c r="G11" s="239" t="e">
        <f>ROUNDUP(計算結果!$C$19*$E11*G$7,2)</f>
        <v>#DIV/0!</v>
      </c>
      <c r="H11" s="239" t="e">
        <f>ROUNDUP(計算結果!$C$19*$E11*H$7,2)</f>
        <v>#DIV/0!</v>
      </c>
      <c r="I11" s="239" t="e">
        <f>ROUNDUP(計算結果!$C$19*$E11*I$7,2)</f>
        <v>#DIV/0!</v>
      </c>
      <c r="J11" s="239" t="e">
        <f>ROUNDUP(計算結果!$C$19*$E11*J$7,2)</f>
        <v>#DIV/0!</v>
      </c>
      <c r="K11" s="239" t="e">
        <f>ROUNDUP(計算結果!$C$19*$E11*K$7,2)</f>
        <v>#DIV/0!</v>
      </c>
      <c r="L11" s="239" t="e">
        <f>ROUNDUP(計算結果!$C$19*$E11*L$7,2)</f>
        <v>#DIV/0!</v>
      </c>
      <c r="M11" s="239" t="e">
        <f>ROUNDUP(計算結果!$C$19*$E11*M$7,2)</f>
        <v>#DIV/0!</v>
      </c>
      <c r="N11" s="239" t="e">
        <f>ROUNDUP(計算結果!$C$19*$E11*N$7,2)</f>
        <v>#DIV/0!</v>
      </c>
      <c r="O11" s="240" t="e">
        <f>ROUNDUP(計算結果!$C$19*$E11*O$7,2)</f>
        <v>#DIV/0!</v>
      </c>
      <c r="P11" s="242" t="e">
        <f>ROUNDUP(P$7*60*計算結果!$C$8/$E11/計算結果!$C$9,)</f>
        <v>#DIV/0!</v>
      </c>
      <c r="Q11" s="242" t="e">
        <f>ROUNDUP(Q$7*60*計算結果!$C$8/$E11/計算結果!$C$9,)</f>
        <v>#DIV/0!</v>
      </c>
      <c r="R11" s="242" t="e">
        <f>ROUNDUP(R$7*60*計算結果!$C$8/$E11/計算結果!$C$9,)</f>
        <v>#DIV/0!</v>
      </c>
      <c r="S11" s="242" t="e">
        <f>ROUNDUP(S$7*60*計算結果!$C$8/$E11/計算結果!$C$9,)</f>
        <v>#DIV/0!</v>
      </c>
      <c r="T11" s="242" t="e">
        <f>ROUNDUP(T$7*60*計算結果!$C$8/$E11/計算結果!$C$9,)</f>
        <v>#DIV/0!</v>
      </c>
      <c r="U11" s="242" t="e">
        <f>ROUNDUP(U$7*60*計算結果!$C$8/$E11/計算結果!$C$9,)</f>
        <v>#DIV/0!</v>
      </c>
      <c r="V11" s="242" t="e">
        <f>ROUNDUP(V$7*60*計算結果!$C$8/$E11/計算結果!$C$9,)</f>
        <v>#DIV/0!</v>
      </c>
      <c r="W11" s="242" t="e">
        <f>ROUNDUP(W$7*60*計算結果!$C$8/$E11/計算結果!$C$9,)</f>
        <v>#DIV/0!</v>
      </c>
      <c r="X11" s="242" t="e">
        <f>ROUNDUP(X$7*60*計算結果!$C$8/$E11/計算結果!$C$9,)</f>
        <v>#DIV/0!</v>
      </c>
      <c r="Y11" s="242" t="e">
        <f>ROUNDUP(Y$7*60*計算結果!$C$8/$E11/計算結果!$C$9,)</f>
        <v>#DIV/0!</v>
      </c>
      <c r="Z11" s="242" t="e">
        <f>ROUNDUP(Z$7*60*計算結果!$C$8/$E11/計算結果!$C$9,)</f>
        <v>#DIV/0!</v>
      </c>
      <c r="AA11" s="242" t="e">
        <f>ROUNDUP(AA$7*60*計算結果!$C$8/$E11/計算結果!$C$9,)</f>
        <v>#DIV/0!</v>
      </c>
      <c r="AB11" s="242" t="e">
        <f>ROUNDUP(AB$7*60*計算結果!$C$8/$E11/計算結果!$C$9,)</f>
        <v>#DIV/0!</v>
      </c>
      <c r="AC11" s="242" t="e">
        <f>ROUNDUP(AC$7*60*計算結果!$C$8/$E11/計算結果!$C$9,)</f>
        <v>#DIV/0!</v>
      </c>
      <c r="AD11" s="242" t="e">
        <f>ROUNDUP(AD$7*60*計算結果!$C$8/$E11/計算結果!$C$9,)</f>
        <v>#DIV/0!</v>
      </c>
      <c r="AE11" s="242" t="e">
        <f>ROUNDUP(AE$7*60*計算結果!$C$8/$E11/計算結果!$C$9,)</f>
        <v>#DIV/0!</v>
      </c>
      <c r="AF11" s="242" t="e">
        <f>ROUNDUP(AF$7*60*計算結果!$C$8/$E11/計算結果!$C$9,)</f>
        <v>#DIV/0!</v>
      </c>
      <c r="AG11" s="242" t="e">
        <f>ROUNDUP(AG$7*60*計算結果!$C$8/$E11/計算結果!$C$9,)</f>
        <v>#DIV/0!</v>
      </c>
      <c r="AH11" s="243" t="e">
        <f>ROUNDUP(AH$7*60*計算結果!$C$8/$E11/計算結果!$C$9,)</f>
        <v>#DIV/0!</v>
      </c>
    </row>
    <row r="12" spans="4:34" ht="20.100000000000001" customHeight="1">
      <c r="D12" s="244">
        <v>130</v>
      </c>
      <c r="E12" s="245" t="e">
        <f>ROUNDUP(D12*1000/計算結果!$C$11/PI()/計算結果!$C$19,)</f>
        <v>#DIV/0!</v>
      </c>
      <c r="F12" s="246" t="e">
        <f>ROUNDUP(計算結果!$C$19*$E12*F$7,2)</f>
        <v>#DIV/0!</v>
      </c>
      <c r="G12" s="246" t="e">
        <f>ROUNDUP(計算結果!$C$19*$E12*G$7,2)</f>
        <v>#DIV/0!</v>
      </c>
      <c r="H12" s="246" t="e">
        <f>ROUNDUP(計算結果!$C$19*$E12*H$7,2)</f>
        <v>#DIV/0!</v>
      </c>
      <c r="I12" s="246" t="e">
        <f>ROUNDUP(計算結果!$C$19*$E12*I$7,2)</f>
        <v>#DIV/0!</v>
      </c>
      <c r="J12" s="246" t="e">
        <f>ROUNDUP(計算結果!$C$19*$E12*J$7,2)</f>
        <v>#DIV/0!</v>
      </c>
      <c r="K12" s="246" t="e">
        <f>ROUNDUP(計算結果!$C$19*$E12*K$7,2)</f>
        <v>#DIV/0!</v>
      </c>
      <c r="L12" s="246" t="e">
        <f>ROUNDUP(計算結果!$C$19*$E12*L$7,2)</f>
        <v>#DIV/0!</v>
      </c>
      <c r="M12" s="246" t="e">
        <f>ROUNDUP(計算結果!$C$19*$E12*M$7,2)</f>
        <v>#DIV/0!</v>
      </c>
      <c r="N12" s="246" t="e">
        <f>ROUNDUP(計算結果!$C$19*$E12*N$7,2)</f>
        <v>#DIV/0!</v>
      </c>
      <c r="O12" s="247" t="e">
        <f>ROUNDUP(計算結果!$C$19*$E12*O$7,2)</f>
        <v>#DIV/0!</v>
      </c>
      <c r="P12" s="248" t="e">
        <f>ROUNDUP(P$7*60*計算結果!$C$8/$E12/計算結果!$C$9,)</f>
        <v>#DIV/0!</v>
      </c>
      <c r="Q12" s="248" t="e">
        <f>ROUNDUP(Q$7*60*計算結果!$C$8/$E12/計算結果!$C$9,)</f>
        <v>#DIV/0!</v>
      </c>
      <c r="R12" s="248" t="e">
        <f>ROUNDUP(R$7*60*計算結果!$C$8/$E12/計算結果!$C$9,)</f>
        <v>#DIV/0!</v>
      </c>
      <c r="S12" s="248" t="e">
        <f>ROUNDUP(S$7*60*計算結果!$C$8/$E12/計算結果!$C$9,)</f>
        <v>#DIV/0!</v>
      </c>
      <c r="T12" s="248" t="e">
        <f>ROUNDUP(T$7*60*計算結果!$C$8/$E12/計算結果!$C$9,)</f>
        <v>#DIV/0!</v>
      </c>
      <c r="U12" s="248" t="e">
        <f>ROUNDUP(U$7*60*計算結果!$C$8/$E12/計算結果!$C$9,)</f>
        <v>#DIV/0!</v>
      </c>
      <c r="V12" s="248" t="e">
        <f>ROUNDUP(V$7*60*計算結果!$C$8/$E12/計算結果!$C$9,)</f>
        <v>#DIV/0!</v>
      </c>
      <c r="W12" s="248" t="e">
        <f>ROUNDUP(W$7*60*計算結果!$C$8/$E12/計算結果!$C$9,)</f>
        <v>#DIV/0!</v>
      </c>
      <c r="X12" s="248" t="e">
        <f>ROUNDUP(X$7*60*計算結果!$C$8/$E12/計算結果!$C$9,)</f>
        <v>#DIV/0!</v>
      </c>
      <c r="Y12" s="248" t="e">
        <f>ROUNDUP(Y$7*60*計算結果!$C$8/$E12/計算結果!$C$9,)</f>
        <v>#DIV/0!</v>
      </c>
      <c r="Z12" s="248" t="e">
        <f>ROUNDUP(Z$7*60*計算結果!$C$8/$E12/計算結果!$C$9,)</f>
        <v>#DIV/0!</v>
      </c>
      <c r="AA12" s="248" t="e">
        <f>ROUNDUP(AA$7*60*計算結果!$C$8/$E12/計算結果!$C$9,)</f>
        <v>#DIV/0!</v>
      </c>
      <c r="AB12" s="248" t="e">
        <f>ROUNDUP(AB$7*60*計算結果!$C$8/$E12/計算結果!$C$9,)</f>
        <v>#DIV/0!</v>
      </c>
      <c r="AC12" s="248" t="e">
        <f>ROUNDUP(AC$7*60*計算結果!$C$8/$E12/計算結果!$C$9,)</f>
        <v>#DIV/0!</v>
      </c>
      <c r="AD12" s="248" t="e">
        <f>ROUNDUP(AD$7*60*計算結果!$C$8/$E12/計算結果!$C$9,)</f>
        <v>#DIV/0!</v>
      </c>
      <c r="AE12" s="248" t="e">
        <f>ROUNDUP(AE$7*60*計算結果!$C$8/$E12/計算結果!$C$9,)</f>
        <v>#DIV/0!</v>
      </c>
      <c r="AF12" s="248" t="e">
        <f>ROUNDUP(AF$7*60*計算結果!$C$8/$E12/計算結果!$C$9,)</f>
        <v>#DIV/0!</v>
      </c>
      <c r="AG12" s="248" t="e">
        <f>ROUNDUP(AG$7*60*計算結果!$C$8/$E12/計算結果!$C$9,)</f>
        <v>#DIV/0!</v>
      </c>
      <c r="AH12" s="249" t="e">
        <f>ROUNDUP(AH$7*60*計算結果!$C$8/$E12/計算結果!$C$9,)</f>
        <v>#DIV/0!</v>
      </c>
    </row>
    <row r="13" spans="4:34" ht="20.100000000000001" customHeight="1">
      <c r="D13" s="236">
        <v>120</v>
      </c>
      <c r="E13" s="237" t="e">
        <f>ROUNDUP(D13*1000/計算結果!$C$11/PI()/計算結果!$C$19,)</f>
        <v>#DIV/0!</v>
      </c>
      <c r="F13" s="239" t="e">
        <f>ROUNDUP(計算結果!$C$19*$E13*F$7,2)</f>
        <v>#DIV/0!</v>
      </c>
      <c r="G13" s="239" t="e">
        <f>ROUNDUP(計算結果!$C$19*$E13*G$7,2)</f>
        <v>#DIV/0!</v>
      </c>
      <c r="H13" s="239" t="e">
        <f>ROUNDUP(計算結果!$C$19*$E13*H$7,2)</f>
        <v>#DIV/0!</v>
      </c>
      <c r="I13" s="239" t="e">
        <f>ROUNDUP(計算結果!$C$19*$E13*I$7,2)</f>
        <v>#DIV/0!</v>
      </c>
      <c r="J13" s="239" t="e">
        <f>ROUNDUP(計算結果!$C$19*$E13*J$7,2)</f>
        <v>#DIV/0!</v>
      </c>
      <c r="K13" s="239" t="e">
        <f>ROUNDUP(計算結果!$C$19*$E13*K$7,2)</f>
        <v>#DIV/0!</v>
      </c>
      <c r="L13" s="239" t="e">
        <f>ROUNDUP(計算結果!$C$19*$E13*L$7,2)</f>
        <v>#DIV/0!</v>
      </c>
      <c r="M13" s="239" t="e">
        <f>ROUNDUP(計算結果!$C$19*$E13*M$7,2)</f>
        <v>#DIV/0!</v>
      </c>
      <c r="N13" s="239" t="e">
        <f>ROUNDUP(計算結果!$C$19*$E13*N$7,2)</f>
        <v>#DIV/0!</v>
      </c>
      <c r="O13" s="240" t="e">
        <f>ROUNDUP(計算結果!$C$19*$E13*O$7,2)</f>
        <v>#DIV/0!</v>
      </c>
      <c r="P13" s="242" t="e">
        <f>ROUNDUP(P$7*60*計算結果!$C$8/$E13/計算結果!$C$9,)</f>
        <v>#DIV/0!</v>
      </c>
      <c r="Q13" s="242" t="e">
        <f>ROUNDUP(Q$7*60*計算結果!$C$8/$E13/計算結果!$C$9,)</f>
        <v>#DIV/0!</v>
      </c>
      <c r="R13" s="242" t="e">
        <f>ROUNDUP(R$7*60*計算結果!$C$8/$E13/計算結果!$C$9,)</f>
        <v>#DIV/0!</v>
      </c>
      <c r="S13" s="242" t="e">
        <f>ROUNDUP(S$7*60*計算結果!$C$8/$E13/計算結果!$C$9,)</f>
        <v>#DIV/0!</v>
      </c>
      <c r="T13" s="242" t="e">
        <f>ROUNDUP(T$7*60*計算結果!$C$8/$E13/計算結果!$C$9,)</f>
        <v>#DIV/0!</v>
      </c>
      <c r="U13" s="242" t="e">
        <f>ROUNDUP(U$7*60*計算結果!$C$8/$E13/計算結果!$C$9,)</f>
        <v>#DIV/0!</v>
      </c>
      <c r="V13" s="242" t="e">
        <f>ROUNDUP(V$7*60*計算結果!$C$8/$E13/計算結果!$C$9,)</f>
        <v>#DIV/0!</v>
      </c>
      <c r="W13" s="242" t="e">
        <f>ROUNDUP(W$7*60*計算結果!$C$8/$E13/計算結果!$C$9,)</f>
        <v>#DIV/0!</v>
      </c>
      <c r="X13" s="242" t="e">
        <f>ROUNDUP(X$7*60*計算結果!$C$8/$E13/計算結果!$C$9,)</f>
        <v>#DIV/0!</v>
      </c>
      <c r="Y13" s="242" t="e">
        <f>ROUNDUP(Y$7*60*計算結果!$C$8/$E13/計算結果!$C$9,)</f>
        <v>#DIV/0!</v>
      </c>
      <c r="Z13" s="242" t="e">
        <f>ROUNDUP(Z$7*60*計算結果!$C$8/$E13/計算結果!$C$9,)</f>
        <v>#DIV/0!</v>
      </c>
      <c r="AA13" s="242" t="e">
        <f>ROUNDUP(AA$7*60*計算結果!$C$8/$E13/計算結果!$C$9,)</f>
        <v>#DIV/0!</v>
      </c>
      <c r="AB13" s="242" t="e">
        <f>ROUNDUP(AB$7*60*計算結果!$C$8/$E13/計算結果!$C$9,)</f>
        <v>#DIV/0!</v>
      </c>
      <c r="AC13" s="242" t="e">
        <f>ROUNDUP(AC$7*60*計算結果!$C$8/$E13/計算結果!$C$9,)</f>
        <v>#DIV/0!</v>
      </c>
      <c r="AD13" s="242" t="e">
        <f>ROUNDUP(AD$7*60*計算結果!$C$8/$E13/計算結果!$C$9,)</f>
        <v>#DIV/0!</v>
      </c>
      <c r="AE13" s="242" t="e">
        <f>ROUNDUP(AE$7*60*計算結果!$C$8/$E13/計算結果!$C$9,)</f>
        <v>#DIV/0!</v>
      </c>
      <c r="AF13" s="242" t="e">
        <f>ROUNDUP(AF$7*60*計算結果!$C$8/$E13/計算結果!$C$9,)</f>
        <v>#DIV/0!</v>
      </c>
      <c r="AG13" s="242" t="e">
        <f>ROUNDUP(AG$7*60*計算結果!$C$8/$E13/計算結果!$C$9,)</f>
        <v>#DIV/0!</v>
      </c>
      <c r="AH13" s="243" t="e">
        <f>ROUNDUP(AH$7*60*計算結果!$C$8/$E13/計算結果!$C$9,)</f>
        <v>#DIV/0!</v>
      </c>
    </row>
    <row r="14" spans="4:34" ht="20.100000000000001" customHeight="1">
      <c r="D14" s="236">
        <v>110</v>
      </c>
      <c r="E14" s="237" t="e">
        <f>ROUNDUP(D14*1000/計算結果!$C$11/PI()/計算結果!$C$19,)</f>
        <v>#DIV/0!</v>
      </c>
      <c r="F14" s="239" t="e">
        <f>ROUNDUP(計算結果!$C$19*$E14*F$7,2)</f>
        <v>#DIV/0!</v>
      </c>
      <c r="G14" s="239" t="e">
        <f>ROUNDUP(計算結果!$C$19*$E14*G$7,2)</f>
        <v>#DIV/0!</v>
      </c>
      <c r="H14" s="239" t="e">
        <f>ROUNDUP(計算結果!$C$19*$E14*H$7,2)</f>
        <v>#DIV/0!</v>
      </c>
      <c r="I14" s="239" t="e">
        <f>ROUNDUP(計算結果!$C$19*$E14*I$7,2)</f>
        <v>#DIV/0!</v>
      </c>
      <c r="J14" s="239" t="e">
        <f>ROUNDUP(計算結果!$C$19*$E14*J$7,2)</f>
        <v>#DIV/0!</v>
      </c>
      <c r="K14" s="239" t="e">
        <f>ROUNDUP(計算結果!$C$19*$E14*K$7,2)</f>
        <v>#DIV/0!</v>
      </c>
      <c r="L14" s="239" t="e">
        <f>ROUNDUP(計算結果!$C$19*$E14*L$7,2)</f>
        <v>#DIV/0!</v>
      </c>
      <c r="M14" s="239" t="e">
        <f>ROUNDUP(計算結果!$C$19*$E14*M$7,2)</f>
        <v>#DIV/0!</v>
      </c>
      <c r="N14" s="239" t="e">
        <f>ROUNDUP(計算結果!$C$19*$E14*N$7,2)</f>
        <v>#DIV/0!</v>
      </c>
      <c r="O14" s="240" t="e">
        <f>ROUNDUP(計算結果!$C$19*$E14*O$7,2)</f>
        <v>#DIV/0!</v>
      </c>
      <c r="P14" s="242" t="e">
        <f>ROUNDUP(P$7*60*計算結果!$C$8/$E14/計算結果!$C$9,)</f>
        <v>#DIV/0!</v>
      </c>
      <c r="Q14" s="242" t="e">
        <f>ROUNDUP(Q$7*60*計算結果!$C$8/$E14/計算結果!$C$9,)</f>
        <v>#DIV/0!</v>
      </c>
      <c r="R14" s="242" t="e">
        <f>ROUNDUP(R$7*60*計算結果!$C$8/$E14/計算結果!$C$9,)</f>
        <v>#DIV/0!</v>
      </c>
      <c r="S14" s="242" t="e">
        <f>ROUNDUP(S$7*60*計算結果!$C$8/$E14/計算結果!$C$9,)</f>
        <v>#DIV/0!</v>
      </c>
      <c r="T14" s="242" t="e">
        <f>ROUNDUP(T$7*60*計算結果!$C$8/$E14/計算結果!$C$9,)</f>
        <v>#DIV/0!</v>
      </c>
      <c r="U14" s="242" t="e">
        <f>ROUNDUP(U$7*60*計算結果!$C$8/$E14/計算結果!$C$9,)</f>
        <v>#DIV/0!</v>
      </c>
      <c r="V14" s="242" t="e">
        <f>ROUNDUP(V$7*60*計算結果!$C$8/$E14/計算結果!$C$9,)</f>
        <v>#DIV/0!</v>
      </c>
      <c r="W14" s="242" t="e">
        <f>ROUNDUP(W$7*60*計算結果!$C$8/$E14/計算結果!$C$9,)</f>
        <v>#DIV/0!</v>
      </c>
      <c r="X14" s="242" t="e">
        <f>ROUNDUP(X$7*60*計算結果!$C$8/$E14/計算結果!$C$9,)</f>
        <v>#DIV/0!</v>
      </c>
      <c r="Y14" s="242" t="e">
        <f>ROUNDUP(Y$7*60*計算結果!$C$8/$E14/計算結果!$C$9,)</f>
        <v>#DIV/0!</v>
      </c>
      <c r="Z14" s="242" t="e">
        <f>ROUNDUP(Z$7*60*計算結果!$C$8/$E14/計算結果!$C$9,)</f>
        <v>#DIV/0!</v>
      </c>
      <c r="AA14" s="242" t="e">
        <f>ROUNDUP(AA$7*60*計算結果!$C$8/$E14/計算結果!$C$9,)</f>
        <v>#DIV/0!</v>
      </c>
      <c r="AB14" s="242" t="e">
        <f>ROUNDUP(AB$7*60*計算結果!$C$8/$E14/計算結果!$C$9,)</f>
        <v>#DIV/0!</v>
      </c>
      <c r="AC14" s="242" t="e">
        <f>ROUNDUP(AC$7*60*計算結果!$C$8/$E14/計算結果!$C$9,)</f>
        <v>#DIV/0!</v>
      </c>
      <c r="AD14" s="242" t="e">
        <f>ROUNDUP(AD$7*60*計算結果!$C$8/$E14/計算結果!$C$9,)</f>
        <v>#DIV/0!</v>
      </c>
      <c r="AE14" s="242" t="e">
        <f>ROUNDUP(AE$7*60*計算結果!$C$8/$E14/計算結果!$C$9,)</f>
        <v>#DIV/0!</v>
      </c>
      <c r="AF14" s="242" t="e">
        <f>ROUNDUP(AF$7*60*計算結果!$C$8/$E14/計算結果!$C$9,)</f>
        <v>#DIV/0!</v>
      </c>
      <c r="AG14" s="242" t="e">
        <f>ROUNDUP(AG$7*60*計算結果!$C$8/$E14/計算結果!$C$9,)</f>
        <v>#DIV/0!</v>
      </c>
      <c r="AH14" s="243" t="e">
        <f>ROUNDUP(AH$7*60*計算結果!$C$8/$E14/計算結果!$C$9,)</f>
        <v>#DIV/0!</v>
      </c>
    </row>
    <row r="15" spans="4:34" ht="20.100000000000001" customHeight="1">
      <c r="D15" s="236">
        <v>100</v>
      </c>
      <c r="E15" s="237" t="e">
        <f>ROUNDUP(D15*1000/計算結果!$C$11/PI()/計算結果!$C$19,)</f>
        <v>#DIV/0!</v>
      </c>
      <c r="F15" s="238" t="e">
        <f>ROUNDUP(計算結果!$C$19*$E15*F$7,2)</f>
        <v>#DIV/0!</v>
      </c>
      <c r="G15" s="239" t="e">
        <f>ROUNDUP(計算結果!$C$19*$E15*G$7,2)</f>
        <v>#DIV/0!</v>
      </c>
      <c r="H15" s="239" t="e">
        <f>ROUNDUP(計算結果!$C$19*$E15*H$7,2)</f>
        <v>#DIV/0!</v>
      </c>
      <c r="I15" s="239" t="e">
        <f>ROUNDUP(計算結果!$C$19*$E15*I$7,2)</f>
        <v>#DIV/0!</v>
      </c>
      <c r="J15" s="239" t="e">
        <f>ROUNDUP(計算結果!$C$19*$E15*J$7,2)</f>
        <v>#DIV/0!</v>
      </c>
      <c r="K15" s="239" t="e">
        <f>ROUNDUP(計算結果!$C$19*$E15*K$7,2)</f>
        <v>#DIV/0!</v>
      </c>
      <c r="L15" s="239" t="e">
        <f>ROUNDUP(計算結果!$C$19*$E15*L$7,2)</f>
        <v>#DIV/0!</v>
      </c>
      <c r="M15" s="239" t="e">
        <f>ROUNDUP(計算結果!$C$19*$E15*M$7,2)</f>
        <v>#DIV/0!</v>
      </c>
      <c r="N15" s="239" t="e">
        <f>ROUNDUP(計算結果!$C$19*$E15*N$7,2)</f>
        <v>#DIV/0!</v>
      </c>
      <c r="O15" s="240" t="e">
        <f>ROUNDUP(計算結果!$C$19*$E15*O$7,2)</f>
        <v>#DIV/0!</v>
      </c>
      <c r="P15" s="241" t="e">
        <f>ROUNDUP(P$7*60*計算結果!$C$8/$E15/計算結果!$C$9,)</f>
        <v>#DIV/0!</v>
      </c>
      <c r="Q15" s="242" t="e">
        <f>ROUNDUP(Q$7*60*計算結果!$C$8/$E15/計算結果!$C$9,)</f>
        <v>#DIV/0!</v>
      </c>
      <c r="R15" s="242" t="e">
        <f>ROUNDUP(R$7*60*計算結果!$C$8/$E15/計算結果!$C$9,)</f>
        <v>#DIV/0!</v>
      </c>
      <c r="S15" s="242" t="e">
        <f>ROUNDUP(S$7*60*計算結果!$C$8/$E15/計算結果!$C$9,)</f>
        <v>#DIV/0!</v>
      </c>
      <c r="T15" s="242" t="e">
        <f>ROUNDUP(T$7*60*計算結果!$C$8/$E15/計算結果!$C$9,)</f>
        <v>#DIV/0!</v>
      </c>
      <c r="U15" s="242" t="e">
        <f>ROUNDUP(U$7*60*計算結果!$C$8/$E15/計算結果!$C$9,)</f>
        <v>#DIV/0!</v>
      </c>
      <c r="V15" s="242" t="e">
        <f>ROUNDUP(V$7*60*計算結果!$C$8/$E15/計算結果!$C$9,)</f>
        <v>#DIV/0!</v>
      </c>
      <c r="W15" s="242" t="e">
        <f>ROUNDUP(W$7*60*計算結果!$C$8/$E15/計算結果!$C$9,)</f>
        <v>#DIV/0!</v>
      </c>
      <c r="X15" s="242" t="e">
        <f>ROUNDUP(X$7*60*計算結果!$C$8/$E15/計算結果!$C$9,)</f>
        <v>#DIV/0!</v>
      </c>
      <c r="Y15" s="242" t="e">
        <f>ROUNDUP(Y$7*60*計算結果!$C$8/$E15/計算結果!$C$9,)</f>
        <v>#DIV/0!</v>
      </c>
      <c r="Z15" s="242" t="e">
        <f>ROUNDUP(Z$7*60*計算結果!$C$8/$E15/計算結果!$C$9,)</f>
        <v>#DIV/0!</v>
      </c>
      <c r="AA15" s="242" t="e">
        <f>ROUNDUP(AA$7*60*計算結果!$C$8/$E15/計算結果!$C$9,)</f>
        <v>#DIV/0!</v>
      </c>
      <c r="AB15" s="242" t="e">
        <f>ROUNDUP(AB$7*60*計算結果!$C$8/$E15/計算結果!$C$9,)</f>
        <v>#DIV/0!</v>
      </c>
      <c r="AC15" s="242" t="e">
        <f>ROUNDUP(AC$7*60*計算結果!$C$8/$E15/計算結果!$C$9,)</f>
        <v>#DIV/0!</v>
      </c>
      <c r="AD15" s="242" t="e">
        <f>ROUNDUP(AD$7*60*計算結果!$C$8/$E15/計算結果!$C$9,)</f>
        <v>#DIV/0!</v>
      </c>
      <c r="AE15" s="242" t="e">
        <f>ROUNDUP(AE$7*60*計算結果!$C$8/$E15/計算結果!$C$9,)</f>
        <v>#DIV/0!</v>
      </c>
      <c r="AF15" s="242" t="e">
        <f>ROUNDUP(AF$7*60*計算結果!$C$8/$E15/計算結果!$C$9,)</f>
        <v>#DIV/0!</v>
      </c>
      <c r="AG15" s="242" t="e">
        <f>ROUNDUP(AG$7*60*計算結果!$C$8/$E15/計算結果!$C$9,)</f>
        <v>#DIV/0!</v>
      </c>
      <c r="AH15" s="243" t="e">
        <f>ROUNDUP(AH$7*60*計算結果!$C$8/$E15/計算結果!$C$9,)</f>
        <v>#DIV/0!</v>
      </c>
    </row>
    <row r="16" spans="4:34" ht="20.100000000000001" customHeight="1">
      <c r="D16" s="236">
        <v>90</v>
      </c>
      <c r="E16" s="237" t="e">
        <f>ROUNDUP(D16*1000/計算結果!$C$11/PI()/計算結果!$C$19,)</f>
        <v>#DIV/0!</v>
      </c>
      <c r="F16" s="238" t="e">
        <f>ROUNDUP(計算結果!$C$19*$E16*F$7,2)</f>
        <v>#DIV/0!</v>
      </c>
      <c r="G16" s="239" t="e">
        <f>ROUNDUP(計算結果!$C$19*$E16*G$7,2)</f>
        <v>#DIV/0!</v>
      </c>
      <c r="H16" s="239" t="e">
        <f>ROUNDUP(計算結果!$C$19*$E16*H$7,2)</f>
        <v>#DIV/0!</v>
      </c>
      <c r="I16" s="239" t="e">
        <f>ROUNDUP(計算結果!$C$19*$E16*I$7,2)</f>
        <v>#DIV/0!</v>
      </c>
      <c r="J16" s="239" t="e">
        <f>ROUNDUP(計算結果!$C$19*$E16*J$7,2)</f>
        <v>#DIV/0!</v>
      </c>
      <c r="K16" s="239" t="e">
        <f>ROUNDUP(計算結果!$C$19*$E16*K$7,2)</f>
        <v>#DIV/0!</v>
      </c>
      <c r="L16" s="239" t="e">
        <f>ROUNDUP(計算結果!$C$19*$E16*L$7,2)</f>
        <v>#DIV/0!</v>
      </c>
      <c r="M16" s="239" t="e">
        <f>ROUNDUP(計算結果!$C$19*$E16*M$7,2)</f>
        <v>#DIV/0!</v>
      </c>
      <c r="N16" s="239" t="e">
        <f>ROUNDUP(計算結果!$C$19*$E16*N$7,2)</f>
        <v>#DIV/0!</v>
      </c>
      <c r="O16" s="240" t="e">
        <f>ROUNDUP(計算結果!$C$19*$E16*O$7,2)</f>
        <v>#DIV/0!</v>
      </c>
      <c r="P16" s="241" t="e">
        <f>ROUNDUP(P$7*60*計算結果!$C$8/$E16/計算結果!$C$9,)</f>
        <v>#DIV/0!</v>
      </c>
      <c r="Q16" s="242" t="e">
        <f>ROUNDUP(Q$7*60*計算結果!$C$8/$E16/計算結果!$C$9,)</f>
        <v>#DIV/0!</v>
      </c>
      <c r="R16" s="242" t="e">
        <f>ROUNDUP(R$7*60*計算結果!$C$8/$E16/計算結果!$C$9,)</f>
        <v>#DIV/0!</v>
      </c>
      <c r="S16" s="242" t="e">
        <f>ROUNDUP(S$7*60*計算結果!$C$8/$E16/計算結果!$C$9,)</f>
        <v>#DIV/0!</v>
      </c>
      <c r="T16" s="242" t="e">
        <f>ROUNDUP(T$7*60*計算結果!$C$8/$E16/計算結果!$C$9,)</f>
        <v>#DIV/0!</v>
      </c>
      <c r="U16" s="242" t="e">
        <f>ROUNDUP(U$7*60*計算結果!$C$8/$E16/計算結果!$C$9,)</f>
        <v>#DIV/0!</v>
      </c>
      <c r="V16" s="242" t="e">
        <f>ROUNDUP(V$7*60*計算結果!$C$8/$E16/計算結果!$C$9,)</f>
        <v>#DIV/0!</v>
      </c>
      <c r="W16" s="242" t="e">
        <f>ROUNDUP(W$7*60*計算結果!$C$8/$E16/計算結果!$C$9,)</f>
        <v>#DIV/0!</v>
      </c>
      <c r="X16" s="242" t="e">
        <f>ROUNDUP(X$7*60*計算結果!$C$8/$E16/計算結果!$C$9,)</f>
        <v>#DIV/0!</v>
      </c>
      <c r="Y16" s="242" t="e">
        <f>ROUNDUP(Y$7*60*計算結果!$C$8/$E16/計算結果!$C$9,)</f>
        <v>#DIV/0!</v>
      </c>
      <c r="Z16" s="242" t="e">
        <f>ROUNDUP(Z$7*60*計算結果!$C$8/$E16/計算結果!$C$9,)</f>
        <v>#DIV/0!</v>
      </c>
      <c r="AA16" s="242" t="e">
        <f>ROUNDUP(AA$7*60*計算結果!$C$8/$E16/計算結果!$C$9,)</f>
        <v>#DIV/0!</v>
      </c>
      <c r="AB16" s="242" t="e">
        <f>ROUNDUP(AB$7*60*計算結果!$C$8/$E16/計算結果!$C$9,)</f>
        <v>#DIV/0!</v>
      </c>
      <c r="AC16" s="242" t="e">
        <f>ROUNDUP(AC$7*60*計算結果!$C$8/$E16/計算結果!$C$9,)</f>
        <v>#DIV/0!</v>
      </c>
      <c r="AD16" s="242" t="e">
        <f>ROUNDUP(AD$7*60*計算結果!$C$8/$E16/計算結果!$C$9,)</f>
        <v>#DIV/0!</v>
      </c>
      <c r="AE16" s="242" t="e">
        <f>ROUNDUP(AE$7*60*計算結果!$C$8/$E16/計算結果!$C$9,)</f>
        <v>#DIV/0!</v>
      </c>
      <c r="AF16" s="242" t="e">
        <f>ROUNDUP(AF$7*60*計算結果!$C$8/$E16/計算結果!$C$9,)</f>
        <v>#DIV/0!</v>
      </c>
      <c r="AG16" s="242" t="e">
        <f>ROUNDUP(AG$7*60*計算結果!$C$8/$E16/計算結果!$C$9,)</f>
        <v>#DIV/0!</v>
      </c>
      <c r="AH16" s="243" t="e">
        <f>ROUNDUP(AH$7*60*計算結果!$C$8/$E16/計算結果!$C$9,)</f>
        <v>#DIV/0!</v>
      </c>
    </row>
    <row r="17" spans="4:34" ht="20.100000000000001" customHeight="1">
      <c r="D17" s="236">
        <v>80</v>
      </c>
      <c r="E17" s="237" t="e">
        <f>ROUNDUP(D17*1000/計算結果!$C$11/PI()/計算結果!$C$19,)</f>
        <v>#DIV/0!</v>
      </c>
      <c r="F17" s="238" t="e">
        <f>ROUNDUP(計算結果!$C$19*$E17*F$7,2)</f>
        <v>#DIV/0!</v>
      </c>
      <c r="G17" s="239" t="e">
        <f>ROUNDUP(計算結果!$C$19*$E17*G$7,2)</f>
        <v>#DIV/0!</v>
      </c>
      <c r="H17" s="239" t="e">
        <f>ROUNDUP(計算結果!$C$19*$E17*H$7,2)</f>
        <v>#DIV/0!</v>
      </c>
      <c r="I17" s="239" t="e">
        <f>ROUNDUP(計算結果!$C$19*$E17*I$7,2)</f>
        <v>#DIV/0!</v>
      </c>
      <c r="J17" s="239" t="e">
        <f>ROUNDUP(計算結果!$C$19*$E17*J$7,2)</f>
        <v>#DIV/0!</v>
      </c>
      <c r="K17" s="239" t="e">
        <f>ROUNDUP(計算結果!$C$19*$E17*K$7,2)</f>
        <v>#DIV/0!</v>
      </c>
      <c r="L17" s="239" t="e">
        <f>ROUNDUP(計算結果!$C$19*$E17*L$7,2)</f>
        <v>#DIV/0!</v>
      </c>
      <c r="M17" s="239" t="e">
        <f>ROUNDUP(計算結果!$C$19*$E17*M$7,2)</f>
        <v>#DIV/0!</v>
      </c>
      <c r="N17" s="239" t="e">
        <f>ROUNDUP(計算結果!$C$19*$E17*N$7,2)</f>
        <v>#DIV/0!</v>
      </c>
      <c r="O17" s="240" t="e">
        <f>ROUNDUP(計算結果!$C$19*$E17*O$7,2)</f>
        <v>#DIV/0!</v>
      </c>
      <c r="P17" s="241" t="e">
        <f>ROUNDUP(P$7*60*計算結果!$C$8/$E17/計算結果!$C$9,)</f>
        <v>#DIV/0!</v>
      </c>
      <c r="Q17" s="242" t="e">
        <f>ROUNDUP(Q$7*60*計算結果!$C$8/$E17/計算結果!$C$9,)</f>
        <v>#DIV/0!</v>
      </c>
      <c r="R17" s="242" t="e">
        <f>ROUNDUP(R$7*60*計算結果!$C$8/$E17/計算結果!$C$9,)</f>
        <v>#DIV/0!</v>
      </c>
      <c r="S17" s="242" t="e">
        <f>ROUNDUP(S$7*60*計算結果!$C$8/$E17/計算結果!$C$9,)</f>
        <v>#DIV/0!</v>
      </c>
      <c r="T17" s="242" t="e">
        <f>ROUNDUP(T$7*60*計算結果!$C$8/$E17/計算結果!$C$9,)</f>
        <v>#DIV/0!</v>
      </c>
      <c r="U17" s="242" t="e">
        <f>ROUNDUP(U$7*60*計算結果!$C$8/$E17/計算結果!$C$9,)</f>
        <v>#DIV/0!</v>
      </c>
      <c r="V17" s="242" t="e">
        <f>ROUNDUP(V$7*60*計算結果!$C$8/$E17/計算結果!$C$9,)</f>
        <v>#DIV/0!</v>
      </c>
      <c r="W17" s="242" t="e">
        <f>ROUNDUP(W$7*60*計算結果!$C$8/$E17/計算結果!$C$9,)</f>
        <v>#DIV/0!</v>
      </c>
      <c r="X17" s="242" t="e">
        <f>ROUNDUP(X$7*60*計算結果!$C$8/$E17/計算結果!$C$9,)</f>
        <v>#DIV/0!</v>
      </c>
      <c r="Y17" s="242" t="e">
        <f>ROUNDUP(Y$7*60*計算結果!$C$8/$E17/計算結果!$C$9,)</f>
        <v>#DIV/0!</v>
      </c>
      <c r="Z17" s="242" t="e">
        <f>ROUNDUP(Z$7*60*計算結果!$C$8/$E17/計算結果!$C$9,)</f>
        <v>#DIV/0!</v>
      </c>
      <c r="AA17" s="242" t="e">
        <f>ROUNDUP(AA$7*60*計算結果!$C$8/$E17/計算結果!$C$9,)</f>
        <v>#DIV/0!</v>
      </c>
      <c r="AB17" s="242" t="e">
        <f>ROUNDUP(AB$7*60*計算結果!$C$8/$E17/計算結果!$C$9,)</f>
        <v>#DIV/0!</v>
      </c>
      <c r="AC17" s="242" t="e">
        <f>ROUNDUP(AC$7*60*計算結果!$C$8/$E17/計算結果!$C$9,)</f>
        <v>#DIV/0!</v>
      </c>
      <c r="AD17" s="242" t="e">
        <f>ROUNDUP(AD$7*60*計算結果!$C$8/$E17/計算結果!$C$9,)</f>
        <v>#DIV/0!</v>
      </c>
      <c r="AE17" s="242" t="e">
        <f>ROUNDUP(AE$7*60*計算結果!$C$8/$E17/計算結果!$C$9,)</f>
        <v>#DIV/0!</v>
      </c>
      <c r="AF17" s="242" t="e">
        <f>ROUNDUP(AF$7*60*計算結果!$C$8/$E17/計算結果!$C$9,)</f>
        <v>#DIV/0!</v>
      </c>
      <c r="AG17" s="242" t="e">
        <f>ROUNDUP(AG$7*60*計算結果!$C$8/$E17/計算結果!$C$9,)</f>
        <v>#DIV/0!</v>
      </c>
      <c r="AH17" s="243" t="e">
        <f>ROUNDUP(AH$7*60*計算結果!$C$8/$E17/計算結果!$C$9,)</f>
        <v>#DIV/0!</v>
      </c>
    </row>
    <row r="18" spans="4:34" ht="20.100000000000001" customHeight="1" thickBot="1">
      <c r="D18" s="250">
        <v>70</v>
      </c>
      <c r="E18" s="251" t="e">
        <f>ROUNDUP(D18*1000/計算結果!$C$11/PI()/計算結果!$C$19,)</f>
        <v>#DIV/0!</v>
      </c>
      <c r="F18" s="252" t="e">
        <f>ROUNDUP(計算結果!$C$19*$E18*F$7,2)</f>
        <v>#DIV/0!</v>
      </c>
      <c r="G18" s="253" t="e">
        <f>ROUNDUP(計算結果!$C$19*$E18*G$7,2)</f>
        <v>#DIV/0!</v>
      </c>
      <c r="H18" s="253" t="e">
        <f>ROUNDUP(計算結果!$C$19*$E18*H$7,2)</f>
        <v>#DIV/0!</v>
      </c>
      <c r="I18" s="253" t="e">
        <f>ROUNDUP(計算結果!$C$19*$E18*I$7,2)</f>
        <v>#DIV/0!</v>
      </c>
      <c r="J18" s="253" t="e">
        <f>ROUNDUP(計算結果!$C$19*$E18*J$7,2)</f>
        <v>#DIV/0!</v>
      </c>
      <c r="K18" s="253" t="e">
        <f>ROUNDUP(計算結果!$C$19*$E18*K$7,2)</f>
        <v>#DIV/0!</v>
      </c>
      <c r="L18" s="253" t="e">
        <f>ROUNDUP(計算結果!$C$19*$E18*L$7,2)</f>
        <v>#DIV/0!</v>
      </c>
      <c r="M18" s="253" t="e">
        <f>ROUNDUP(計算結果!$C$19*$E18*M$7,2)</f>
        <v>#DIV/0!</v>
      </c>
      <c r="N18" s="253" t="e">
        <f>ROUNDUP(計算結果!$C$19*$E18*N$7,2)</f>
        <v>#DIV/0!</v>
      </c>
      <c r="O18" s="254" t="e">
        <f>ROUNDUP(計算結果!$C$19*$E18*O$7,2)</f>
        <v>#DIV/0!</v>
      </c>
      <c r="P18" s="255" t="e">
        <f>ROUNDUP(P$7*60*計算結果!$C$8/$E18/計算結果!$C$9,)</f>
        <v>#DIV/0!</v>
      </c>
      <c r="Q18" s="256" t="e">
        <f>ROUNDUP(Q$7*60*計算結果!$C$8/$E18/計算結果!$C$9,)</f>
        <v>#DIV/0!</v>
      </c>
      <c r="R18" s="256" t="e">
        <f>ROUNDUP(R$7*60*計算結果!$C$8/$E18/計算結果!$C$9,)</f>
        <v>#DIV/0!</v>
      </c>
      <c r="S18" s="256" t="e">
        <f>ROUNDUP(S$7*60*計算結果!$C$8/$E18/計算結果!$C$9,)</f>
        <v>#DIV/0!</v>
      </c>
      <c r="T18" s="256" t="e">
        <f>ROUNDUP(T$7*60*計算結果!$C$8/$E18/計算結果!$C$9,)</f>
        <v>#DIV/0!</v>
      </c>
      <c r="U18" s="256" t="e">
        <f>ROUNDUP(U$7*60*計算結果!$C$8/$E18/計算結果!$C$9,)</f>
        <v>#DIV/0!</v>
      </c>
      <c r="V18" s="256" t="e">
        <f>ROUNDUP(V$7*60*計算結果!$C$8/$E18/計算結果!$C$9,)</f>
        <v>#DIV/0!</v>
      </c>
      <c r="W18" s="256" t="e">
        <f>ROUNDUP(W$7*60*計算結果!$C$8/$E18/計算結果!$C$9,)</f>
        <v>#DIV/0!</v>
      </c>
      <c r="X18" s="256" t="e">
        <f>ROUNDUP(X$7*60*計算結果!$C$8/$E18/計算結果!$C$9,)</f>
        <v>#DIV/0!</v>
      </c>
      <c r="Y18" s="256" t="e">
        <f>ROUNDUP(Y$7*60*計算結果!$C$8/$E18/計算結果!$C$9,)</f>
        <v>#DIV/0!</v>
      </c>
      <c r="Z18" s="256" t="e">
        <f>ROUNDUP(Z$7*60*計算結果!$C$8/$E18/計算結果!$C$9,)</f>
        <v>#DIV/0!</v>
      </c>
      <c r="AA18" s="256" t="e">
        <f>ROUNDUP(AA$7*60*計算結果!$C$8/$E18/計算結果!$C$9,)</f>
        <v>#DIV/0!</v>
      </c>
      <c r="AB18" s="256" t="e">
        <f>ROUNDUP(AB$7*60*計算結果!$C$8/$E18/計算結果!$C$9,)</f>
        <v>#DIV/0!</v>
      </c>
      <c r="AC18" s="256" t="e">
        <f>ROUNDUP(AC$7*60*計算結果!$C$8/$E18/計算結果!$C$9,)</f>
        <v>#DIV/0!</v>
      </c>
      <c r="AD18" s="256" t="e">
        <f>ROUNDUP(AD$7*60*計算結果!$C$8/$E18/計算結果!$C$9,)</f>
        <v>#DIV/0!</v>
      </c>
      <c r="AE18" s="256" t="e">
        <f>ROUNDUP(AE$7*60*計算結果!$C$8/$E18/計算結果!$C$9,)</f>
        <v>#DIV/0!</v>
      </c>
      <c r="AF18" s="256" t="e">
        <f>ROUNDUP(AF$7*60*計算結果!$C$8/$E18/計算結果!$C$9,)</f>
        <v>#DIV/0!</v>
      </c>
      <c r="AG18" s="256" t="e">
        <f>ROUNDUP(AG$7*60*計算結果!$C$8/$E18/計算結果!$C$9,)</f>
        <v>#DIV/0!</v>
      </c>
      <c r="AH18" s="257" t="e">
        <f>ROUNDUP(AH$7*60*計算結果!$C$8/$E18/計算結果!$C$9,)</f>
        <v>#DIV/0!</v>
      </c>
    </row>
    <row r="20" spans="4:34" ht="14.25" thickBot="1"/>
    <row r="21" spans="4:34">
      <c r="D21" s="228">
        <v>170</v>
      </c>
      <c r="F21" s="258" t="e">
        <f>工作図!$T$52/条件表2!F8*60</f>
        <v>#DIV/0!</v>
      </c>
      <c r="G21" s="259" t="e">
        <f>工作図!$T$52/条件表2!G8*60</f>
        <v>#DIV/0!</v>
      </c>
      <c r="H21" s="259" t="e">
        <f>工作図!$T$52/条件表2!H8*60</f>
        <v>#DIV/0!</v>
      </c>
      <c r="I21" s="259" t="e">
        <f>工作図!$T$52/条件表2!I8*60</f>
        <v>#DIV/0!</v>
      </c>
      <c r="J21" s="259" t="e">
        <f>工作図!$T$52/条件表2!J8*60</f>
        <v>#DIV/0!</v>
      </c>
      <c r="K21" s="259" t="e">
        <f>工作図!$T$52/条件表2!K8*60</f>
        <v>#DIV/0!</v>
      </c>
      <c r="L21" s="259" t="e">
        <f>工作図!$T$52/条件表2!L8*60</f>
        <v>#DIV/0!</v>
      </c>
      <c r="M21" s="259" t="e">
        <f>工作図!$T$52/条件表2!M8*60</f>
        <v>#DIV/0!</v>
      </c>
      <c r="N21" s="259" t="e">
        <f>工作図!$T$52/条件表2!N8*60</f>
        <v>#DIV/0!</v>
      </c>
      <c r="O21" s="260" t="e">
        <f>工作図!$T$52/条件表2!O8*60</f>
        <v>#DIV/0!</v>
      </c>
      <c r="P21" s="351" t="s">
        <v>184</v>
      </c>
      <c r="Q21" s="352"/>
    </row>
    <row r="22" spans="4:34">
      <c r="D22" s="236">
        <v>160</v>
      </c>
      <c r="F22" s="261" t="e">
        <f>工作図!$T$52/条件表2!F9*60</f>
        <v>#DIV/0!</v>
      </c>
      <c r="G22" s="262" t="e">
        <f>工作図!$T$52/条件表2!G9*60</f>
        <v>#DIV/0!</v>
      </c>
      <c r="H22" s="262" t="e">
        <f>工作図!$T$52/条件表2!H9*60</f>
        <v>#DIV/0!</v>
      </c>
      <c r="I22" s="262" t="e">
        <f>工作図!$T$52/条件表2!I9*60</f>
        <v>#DIV/0!</v>
      </c>
      <c r="J22" s="262" t="e">
        <f>工作図!$T$52/条件表2!J9*60</f>
        <v>#DIV/0!</v>
      </c>
      <c r="K22" s="262" t="e">
        <f>工作図!$T$52/条件表2!K9*60</f>
        <v>#DIV/0!</v>
      </c>
      <c r="L22" s="262" t="e">
        <f>工作図!$T$52/条件表2!L9*60</f>
        <v>#DIV/0!</v>
      </c>
      <c r="M22" s="262" t="e">
        <f>工作図!$T$52/条件表2!M9*60</f>
        <v>#DIV/0!</v>
      </c>
      <c r="N22" s="262" t="e">
        <f>工作図!$T$52/条件表2!N9*60</f>
        <v>#DIV/0!</v>
      </c>
      <c r="O22" s="263" t="e">
        <f>工作図!$T$52/条件表2!O9*60</f>
        <v>#DIV/0!</v>
      </c>
      <c r="P22" s="353"/>
      <c r="Q22" s="354"/>
    </row>
    <row r="23" spans="4:34">
      <c r="D23" s="236">
        <v>150</v>
      </c>
      <c r="F23" s="261" t="e">
        <f>工作図!$T$52/条件表2!F10*60</f>
        <v>#DIV/0!</v>
      </c>
      <c r="G23" s="262" t="e">
        <f>工作図!$T$52/条件表2!G10*60</f>
        <v>#DIV/0!</v>
      </c>
      <c r="H23" s="262" t="e">
        <f>工作図!$T$52/条件表2!H10*60</f>
        <v>#DIV/0!</v>
      </c>
      <c r="I23" s="262" t="e">
        <f>工作図!$T$52/条件表2!I10*60</f>
        <v>#DIV/0!</v>
      </c>
      <c r="J23" s="262" t="e">
        <f>工作図!$T$52/条件表2!J10*60</f>
        <v>#DIV/0!</v>
      </c>
      <c r="K23" s="262" t="e">
        <f>工作図!$T$52/条件表2!K10*60</f>
        <v>#DIV/0!</v>
      </c>
      <c r="L23" s="262" t="e">
        <f>工作図!$T$52/条件表2!L10*60</f>
        <v>#DIV/0!</v>
      </c>
      <c r="M23" s="262" t="e">
        <f>工作図!$T$52/条件表2!M10*60</f>
        <v>#DIV/0!</v>
      </c>
      <c r="N23" s="262" t="e">
        <f>工作図!$T$52/条件表2!N10*60</f>
        <v>#DIV/0!</v>
      </c>
      <c r="O23" s="263" t="e">
        <f>工作図!$T$52/条件表2!O10*60</f>
        <v>#DIV/0!</v>
      </c>
      <c r="P23" s="353"/>
      <c r="Q23" s="354"/>
    </row>
    <row r="24" spans="4:34">
      <c r="D24" s="236">
        <v>140</v>
      </c>
      <c r="F24" s="261" t="e">
        <f>工作図!$T$52/条件表2!F11*60</f>
        <v>#DIV/0!</v>
      </c>
      <c r="G24" s="262" t="e">
        <f>工作図!$T$52/条件表2!G11*60</f>
        <v>#DIV/0!</v>
      </c>
      <c r="H24" s="262" t="e">
        <f>工作図!$T$52/条件表2!H11*60</f>
        <v>#DIV/0!</v>
      </c>
      <c r="I24" s="262" t="e">
        <f>工作図!$T$52/条件表2!I11*60</f>
        <v>#DIV/0!</v>
      </c>
      <c r="J24" s="262" t="e">
        <f>工作図!$T$52/条件表2!J11*60</f>
        <v>#DIV/0!</v>
      </c>
      <c r="K24" s="262" t="e">
        <f>工作図!$T$52/条件表2!K11*60</f>
        <v>#DIV/0!</v>
      </c>
      <c r="L24" s="262" t="e">
        <f>工作図!$T$52/条件表2!L11*60</f>
        <v>#DIV/0!</v>
      </c>
      <c r="M24" s="262" t="e">
        <f>工作図!$T$52/条件表2!M11*60</f>
        <v>#DIV/0!</v>
      </c>
      <c r="N24" s="262" t="e">
        <f>工作図!$T$52/条件表2!N11*60</f>
        <v>#DIV/0!</v>
      </c>
      <c r="O24" s="263" t="e">
        <f>工作図!$T$52/条件表2!O11*60</f>
        <v>#DIV/0!</v>
      </c>
      <c r="P24" s="353"/>
      <c r="Q24" s="354"/>
    </row>
    <row r="25" spans="4:34">
      <c r="D25" s="244">
        <v>130</v>
      </c>
      <c r="F25" s="261" t="e">
        <f>工作図!$T$52/条件表2!F12*60</f>
        <v>#DIV/0!</v>
      </c>
      <c r="G25" s="262" t="e">
        <f>工作図!$T$52/条件表2!G12*60</f>
        <v>#DIV/0!</v>
      </c>
      <c r="H25" s="262" t="e">
        <f>工作図!$T$52/条件表2!H12*60</f>
        <v>#DIV/0!</v>
      </c>
      <c r="I25" s="262" t="e">
        <f>工作図!$T$52/条件表2!I12*60</f>
        <v>#DIV/0!</v>
      </c>
      <c r="J25" s="262" t="e">
        <f>工作図!$T$52/条件表2!J12*60</f>
        <v>#DIV/0!</v>
      </c>
      <c r="K25" s="262" t="e">
        <f>工作図!$T$52/条件表2!K12*60</f>
        <v>#DIV/0!</v>
      </c>
      <c r="L25" s="262" t="e">
        <f>工作図!$T$52/条件表2!L12*60</f>
        <v>#DIV/0!</v>
      </c>
      <c r="M25" s="262" t="e">
        <f>工作図!$T$52/条件表2!M12*60</f>
        <v>#DIV/0!</v>
      </c>
      <c r="N25" s="262" t="e">
        <f>工作図!$T$52/条件表2!N12*60</f>
        <v>#DIV/0!</v>
      </c>
      <c r="O25" s="263" t="e">
        <f>工作図!$T$52/条件表2!O12*60</f>
        <v>#DIV/0!</v>
      </c>
      <c r="P25" s="353"/>
      <c r="Q25" s="354"/>
    </row>
    <row r="26" spans="4:34">
      <c r="D26" s="236">
        <v>120</v>
      </c>
      <c r="F26" s="261" t="e">
        <f>工作図!$T$52/条件表2!F13*60</f>
        <v>#DIV/0!</v>
      </c>
      <c r="G26" s="262" t="e">
        <f>工作図!$T$52/条件表2!G13*60</f>
        <v>#DIV/0!</v>
      </c>
      <c r="H26" s="262" t="e">
        <f>工作図!$T$52/条件表2!H13*60</f>
        <v>#DIV/0!</v>
      </c>
      <c r="I26" s="262" t="e">
        <f>工作図!$T$52/条件表2!I13*60</f>
        <v>#DIV/0!</v>
      </c>
      <c r="J26" s="262" t="e">
        <f>(工作図!$T$52/条件表2!J13)*60</f>
        <v>#DIV/0!</v>
      </c>
      <c r="K26" s="262" t="e">
        <f>工作図!$T$52/条件表2!K13*60</f>
        <v>#DIV/0!</v>
      </c>
      <c r="L26" s="262" t="e">
        <f>工作図!$T$52/条件表2!L13*60</f>
        <v>#DIV/0!</v>
      </c>
      <c r="M26" s="262" t="e">
        <f>工作図!$T$52/条件表2!M13*60</f>
        <v>#DIV/0!</v>
      </c>
      <c r="N26" s="262" t="e">
        <f>工作図!$T$52/条件表2!N13*60</f>
        <v>#DIV/0!</v>
      </c>
      <c r="O26" s="263" t="e">
        <f>工作図!$T$52/条件表2!O13*60</f>
        <v>#DIV/0!</v>
      </c>
      <c r="P26" s="353"/>
      <c r="Q26" s="354"/>
    </row>
    <row r="27" spans="4:34">
      <c r="D27" s="236">
        <v>110</v>
      </c>
      <c r="F27" s="261" t="e">
        <f>工作図!$T$52/条件表2!F14*60</f>
        <v>#DIV/0!</v>
      </c>
      <c r="G27" s="262" t="e">
        <f>工作図!$T$52/条件表2!G14*60</f>
        <v>#DIV/0!</v>
      </c>
      <c r="H27" s="262" t="e">
        <f>工作図!$T$52/条件表2!H14*60</f>
        <v>#DIV/0!</v>
      </c>
      <c r="I27" s="262" t="e">
        <f>工作図!$T$52/条件表2!I14*60</f>
        <v>#DIV/0!</v>
      </c>
      <c r="J27" s="262" t="e">
        <f>工作図!$T$52/条件表2!J14*60</f>
        <v>#DIV/0!</v>
      </c>
      <c r="K27" s="262" t="e">
        <f>工作図!$T$52/条件表2!K14*60</f>
        <v>#DIV/0!</v>
      </c>
      <c r="L27" s="262" t="e">
        <f>工作図!$T$52/条件表2!L14*60</f>
        <v>#DIV/0!</v>
      </c>
      <c r="M27" s="262" t="e">
        <f>工作図!$T$52/条件表2!M14*60</f>
        <v>#DIV/0!</v>
      </c>
      <c r="N27" s="262" t="e">
        <f>工作図!$T$52/条件表2!N14*60</f>
        <v>#DIV/0!</v>
      </c>
      <c r="O27" s="263" t="e">
        <f>工作図!$T$52/条件表2!O14*60</f>
        <v>#DIV/0!</v>
      </c>
      <c r="P27" s="353"/>
      <c r="Q27" s="354"/>
    </row>
    <row r="28" spans="4:34">
      <c r="D28" s="236">
        <v>100</v>
      </c>
      <c r="F28" s="261" t="e">
        <f>工作図!$T$52/条件表2!F15*60</f>
        <v>#DIV/0!</v>
      </c>
      <c r="G28" s="262" t="e">
        <f>工作図!$T$52/条件表2!G15*60</f>
        <v>#DIV/0!</v>
      </c>
      <c r="H28" s="262" t="e">
        <f>工作図!$T$52/条件表2!H15*60</f>
        <v>#DIV/0!</v>
      </c>
      <c r="I28" s="262" t="e">
        <f>工作図!$T$52/条件表2!I15*60</f>
        <v>#DIV/0!</v>
      </c>
      <c r="J28" s="262" t="e">
        <f>工作図!$T$52/条件表2!J15*60</f>
        <v>#DIV/0!</v>
      </c>
      <c r="K28" s="262" t="e">
        <f>工作図!$T$52/条件表2!K15*60</f>
        <v>#DIV/0!</v>
      </c>
      <c r="L28" s="262" t="e">
        <f>工作図!$T$52/条件表2!L15*60</f>
        <v>#DIV/0!</v>
      </c>
      <c r="M28" s="262" t="e">
        <f>工作図!$T$52/条件表2!M15*60</f>
        <v>#DIV/0!</v>
      </c>
      <c r="N28" s="262" t="e">
        <f>工作図!$T$52/条件表2!N15*60</f>
        <v>#DIV/0!</v>
      </c>
      <c r="O28" s="263" t="e">
        <f>工作図!$T$52/条件表2!O15*60</f>
        <v>#DIV/0!</v>
      </c>
      <c r="P28" s="353"/>
      <c r="Q28" s="354"/>
    </row>
    <row r="29" spans="4:34">
      <c r="D29" s="236">
        <v>90</v>
      </c>
      <c r="F29" s="261" t="e">
        <f>工作図!$T$52/条件表2!F16*60</f>
        <v>#DIV/0!</v>
      </c>
      <c r="G29" s="262" t="e">
        <f>工作図!$T$52/条件表2!G16*60</f>
        <v>#DIV/0!</v>
      </c>
      <c r="H29" s="262" t="e">
        <f>工作図!$T$52/条件表2!H16*60</f>
        <v>#DIV/0!</v>
      </c>
      <c r="I29" s="262" t="e">
        <f>工作図!$T$52/条件表2!I16*60</f>
        <v>#DIV/0!</v>
      </c>
      <c r="J29" s="262" t="e">
        <f>工作図!$T$52/条件表2!J16*60</f>
        <v>#DIV/0!</v>
      </c>
      <c r="K29" s="262" t="e">
        <f>工作図!$T$52/条件表2!K16*60</f>
        <v>#DIV/0!</v>
      </c>
      <c r="L29" s="262" t="e">
        <f>工作図!$T$52/条件表2!L16*60</f>
        <v>#DIV/0!</v>
      </c>
      <c r="M29" s="262" t="e">
        <f>工作図!$T$52/条件表2!M16*60</f>
        <v>#DIV/0!</v>
      </c>
      <c r="N29" s="262" t="e">
        <f>工作図!$T$52/条件表2!N16*60</f>
        <v>#DIV/0!</v>
      </c>
      <c r="O29" s="263" t="e">
        <f>工作図!$T$52/条件表2!O16*60</f>
        <v>#DIV/0!</v>
      </c>
      <c r="P29" s="353"/>
      <c r="Q29" s="354"/>
    </row>
    <row r="30" spans="4:34">
      <c r="D30" s="236">
        <v>80</v>
      </c>
      <c r="F30" s="261" t="e">
        <f>工作図!$T$52/条件表2!F17*60</f>
        <v>#DIV/0!</v>
      </c>
      <c r="G30" s="262" t="e">
        <f>工作図!$T$52/条件表2!G17*60</f>
        <v>#DIV/0!</v>
      </c>
      <c r="H30" s="262" t="e">
        <f>工作図!$T$52/条件表2!H17*60</f>
        <v>#DIV/0!</v>
      </c>
      <c r="I30" s="262" t="e">
        <f>工作図!$T$52/条件表2!I17*60</f>
        <v>#DIV/0!</v>
      </c>
      <c r="J30" s="262" t="e">
        <f>工作図!$T$52/条件表2!J17*60</f>
        <v>#DIV/0!</v>
      </c>
      <c r="K30" s="262" t="e">
        <f>工作図!$T$52/条件表2!K17*60</f>
        <v>#DIV/0!</v>
      </c>
      <c r="L30" s="262" t="e">
        <f>工作図!$T$52/条件表2!L17*60</f>
        <v>#DIV/0!</v>
      </c>
      <c r="M30" s="262" t="e">
        <f>工作図!$T$52/条件表2!M17*60</f>
        <v>#DIV/0!</v>
      </c>
      <c r="N30" s="262" t="e">
        <f>工作図!$T$52/条件表2!N17*60</f>
        <v>#DIV/0!</v>
      </c>
      <c r="O30" s="263" t="e">
        <f>工作図!$T$52/条件表2!O17*60</f>
        <v>#DIV/0!</v>
      </c>
      <c r="P30" s="353"/>
      <c r="Q30" s="354"/>
    </row>
    <row r="31" spans="4:34" ht="14.25" thickBot="1">
      <c r="D31" s="250">
        <v>70</v>
      </c>
      <c r="F31" s="264" t="e">
        <f>工作図!$T$52/条件表2!F18*60</f>
        <v>#DIV/0!</v>
      </c>
      <c r="G31" s="265" t="e">
        <f>工作図!$T$52/条件表2!G18*60</f>
        <v>#DIV/0!</v>
      </c>
      <c r="H31" s="265" t="e">
        <f>工作図!$T$52/条件表2!H18*60</f>
        <v>#DIV/0!</v>
      </c>
      <c r="I31" s="265" t="e">
        <f>工作図!$T$52/条件表2!I18*60</f>
        <v>#DIV/0!</v>
      </c>
      <c r="J31" s="265" t="e">
        <f>工作図!$T$52/条件表2!J18*60</f>
        <v>#DIV/0!</v>
      </c>
      <c r="K31" s="265" t="e">
        <f>工作図!$T$52/条件表2!K18*60</f>
        <v>#DIV/0!</v>
      </c>
      <c r="L31" s="265" t="e">
        <f>工作図!$T$52/条件表2!L18*60</f>
        <v>#DIV/0!</v>
      </c>
      <c r="M31" s="265" t="e">
        <f>工作図!$T$52/条件表2!M18*60</f>
        <v>#DIV/0!</v>
      </c>
      <c r="N31" s="265" t="e">
        <f>工作図!$T$52/条件表2!N18*60</f>
        <v>#DIV/0!</v>
      </c>
      <c r="O31" s="266" t="e">
        <f>工作図!$T$52/条件表2!O18*60</f>
        <v>#DIV/0!</v>
      </c>
      <c r="P31" s="355"/>
      <c r="Q31" s="356"/>
    </row>
    <row r="34" spans="12:12">
      <c r="L34" s="267"/>
    </row>
  </sheetData>
  <mergeCells count="1">
    <mergeCell ref="P21:Q31"/>
  </mergeCells>
  <phoneticPr fontId="44"/>
  <conditionalFormatting sqref="F21:O31">
    <cfRule type="cellIs" dxfId="0" priority="1" stopIfTrue="1" operator="greaterThan">
      <formula>40</formula>
    </cfRule>
  </conditionalFormatting>
  <printOptions verticalCentered="1"/>
  <pageMargins left="0.39370078740157483" right="0" top="0.98425196850393704" bottom="0.98425196850393704" header="0.51181102362204722" footer="0.51181102362204722"/>
  <pageSetup paperSize="9" orientation="portrait" horizontalDpi="4294967293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C2:G14"/>
  <sheetViews>
    <sheetView workbookViewId="0"/>
  </sheetViews>
  <sheetFormatPr defaultRowHeight="13.5"/>
  <cols>
    <col min="2" max="2" width="2.875" customWidth="1"/>
    <col min="3" max="4" width="10.5" customWidth="1"/>
    <col min="5" max="5" width="3.875" customWidth="1"/>
    <col min="6" max="6" width="15.5" customWidth="1"/>
    <col min="7" max="7" width="6.875" customWidth="1"/>
  </cols>
  <sheetData>
    <row r="2" spans="3:7" ht="18.75">
      <c r="C2" s="195"/>
    </row>
    <row r="3" spans="3:7" ht="20.100000000000001" customHeight="1" thickBot="1">
      <c r="C3" s="196" t="s">
        <v>162</v>
      </c>
      <c r="D3" s="197" t="s">
        <v>163</v>
      </c>
    </row>
    <row r="4" spans="3:7" ht="20.100000000000001" customHeight="1">
      <c r="C4" s="198" t="s">
        <v>164</v>
      </c>
      <c r="D4" s="199">
        <v>48</v>
      </c>
    </row>
    <row r="5" spans="3:7" ht="20.100000000000001" customHeight="1" thickBot="1">
      <c r="C5" s="200" t="s">
        <v>165</v>
      </c>
      <c r="D5" s="201">
        <v>157</v>
      </c>
    </row>
    <row r="6" spans="3:7" ht="20.100000000000001" customHeight="1">
      <c r="C6" s="200" t="s">
        <v>166</v>
      </c>
      <c r="D6" s="201">
        <v>69.3</v>
      </c>
      <c r="F6" s="198" t="s">
        <v>167</v>
      </c>
      <c r="G6" s="202">
        <f>逆算!G7*逆算!D6*PI()/1000</f>
        <v>71.210087979838136</v>
      </c>
    </row>
    <row r="7" spans="3:7" ht="20.100000000000001" customHeight="1">
      <c r="C7" s="200" t="s">
        <v>168</v>
      </c>
      <c r="D7" s="201">
        <v>100</v>
      </c>
      <c r="F7" s="200" t="s">
        <v>169</v>
      </c>
      <c r="G7" s="203">
        <f>逆算!D7*逆算!D5/逆算!D4</f>
        <v>327.08333333333331</v>
      </c>
    </row>
    <row r="8" spans="3:7" ht="20.100000000000001" customHeight="1">
      <c r="C8" s="200" t="s">
        <v>59</v>
      </c>
      <c r="D8" s="201">
        <v>0.45</v>
      </c>
      <c r="F8" s="204" t="s">
        <v>170</v>
      </c>
      <c r="G8" s="205">
        <f>逆算!D8*逆算!D4/逆算!D5/逆算!D7</f>
        <v>1.3757961783439491E-3</v>
      </c>
    </row>
    <row r="9" spans="3:7" ht="20.100000000000001" customHeight="1">
      <c r="C9" s="200" t="s">
        <v>171</v>
      </c>
      <c r="D9" s="201">
        <v>4</v>
      </c>
      <c r="F9" s="200" t="s">
        <v>172</v>
      </c>
      <c r="G9" s="203">
        <f>$D9*$D$7*$D$5/60/$D$4</f>
        <v>21.805555555555557</v>
      </c>
    </row>
    <row r="10" spans="3:7" ht="20.100000000000001" customHeight="1">
      <c r="C10" s="200" t="s">
        <v>173</v>
      </c>
      <c r="D10" s="201">
        <v>3</v>
      </c>
      <c r="F10" s="200" t="s">
        <v>174</v>
      </c>
      <c r="G10" s="203">
        <f>$D10*$D$7*$D$5/60/$D$4</f>
        <v>16.354166666666668</v>
      </c>
    </row>
    <row r="11" spans="3:7" ht="20.100000000000001" customHeight="1" thickBot="1">
      <c r="C11" s="206" t="s">
        <v>175</v>
      </c>
      <c r="D11" s="207">
        <v>8</v>
      </c>
      <c r="F11" s="206" t="s">
        <v>176</v>
      </c>
      <c r="G11" s="208">
        <f>$D11*$D$7*$D$5/60/$D$4</f>
        <v>43.611111111111114</v>
      </c>
    </row>
    <row r="12" spans="3:7" ht="20.100000000000001" customHeight="1"/>
    <row r="13" spans="3:7" ht="20.100000000000001" customHeight="1"/>
    <row r="14" spans="3:7" ht="20.100000000000001" customHeight="1"/>
  </sheetData>
  <phoneticPr fontId="44"/>
  <pageMargins left="0.78740157480314965" right="0.78740157480314965" top="0.98425196850393704" bottom="0.98425196850393704" header="0.51181102362204722" footer="0.51181102362204722"/>
  <pageSetup paperSize="9" scale="140" orientation="landscape" horizontalDpi="4294967293" verticalDpi="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6:E28"/>
  <sheetViews>
    <sheetView workbookViewId="0"/>
  </sheetViews>
  <sheetFormatPr defaultRowHeight="13.5"/>
  <cols>
    <col min="2" max="2" width="3.125" customWidth="1"/>
    <col min="3" max="3" width="9.875" customWidth="1"/>
    <col min="4" max="5" width="9.625" customWidth="1"/>
    <col min="6" max="6" width="4.25" customWidth="1"/>
  </cols>
  <sheetData>
    <row r="6" spans="3:5">
      <c r="C6" s="186" t="s">
        <v>157</v>
      </c>
      <c r="D6" s="16"/>
      <c r="E6" s="16"/>
    </row>
    <row r="7" spans="3:5" ht="14.25" thickBot="1"/>
    <row r="8" spans="3:5" ht="14.25" thickBot="1">
      <c r="C8" s="187" t="s">
        <v>97</v>
      </c>
      <c r="D8" s="188">
        <v>17.5</v>
      </c>
      <c r="E8" s="189">
        <v>20</v>
      </c>
    </row>
    <row r="9" spans="3:5" ht="14.25" thickBot="1">
      <c r="C9" s="190" t="s">
        <v>158</v>
      </c>
      <c r="D9" s="357" t="s">
        <v>159</v>
      </c>
      <c r="E9" s="358"/>
    </row>
    <row r="10" spans="3:5">
      <c r="C10" s="191">
        <v>0.03</v>
      </c>
      <c r="D10" s="192">
        <f t="shared" ref="D10:D25" si="0">ROUNDUP(C10/2/SIN(RADIANS(D$8))+0.04,2)</f>
        <v>0.09</v>
      </c>
      <c r="E10" s="192">
        <f t="shared" ref="E10:E25" si="1">ROUNDUP(C10/2/SIN(RADIANS(E$8))+0.04,2)</f>
        <v>0.09</v>
      </c>
    </row>
    <row r="11" spans="3:5">
      <c r="C11" s="191">
        <v>0.04</v>
      </c>
      <c r="D11" s="192">
        <f t="shared" si="0"/>
        <v>0.11</v>
      </c>
      <c r="E11" s="192">
        <f t="shared" si="1"/>
        <v>9.9999999999999992E-2</v>
      </c>
    </row>
    <row r="12" spans="3:5">
      <c r="C12" s="191">
        <v>0.05</v>
      </c>
      <c r="D12" s="192">
        <f t="shared" si="0"/>
        <v>0.13</v>
      </c>
      <c r="E12" s="192">
        <f t="shared" si="1"/>
        <v>0.12</v>
      </c>
    </row>
    <row r="13" spans="3:5">
      <c r="C13" s="191">
        <v>0.06</v>
      </c>
      <c r="D13" s="192">
        <f t="shared" si="0"/>
        <v>0.14000000000000001</v>
      </c>
      <c r="E13" s="192">
        <f t="shared" si="1"/>
        <v>0.13</v>
      </c>
    </row>
    <row r="14" spans="3:5">
      <c r="C14" s="191">
        <v>7.0000000000000007E-2</v>
      </c>
      <c r="D14" s="192">
        <f t="shared" si="0"/>
        <v>0.16</v>
      </c>
      <c r="E14" s="192">
        <f t="shared" si="1"/>
        <v>0.15000000000000002</v>
      </c>
    </row>
    <row r="15" spans="3:5">
      <c r="C15" s="191">
        <v>0.08</v>
      </c>
      <c r="D15" s="192">
        <f t="shared" si="0"/>
        <v>0.18000000000000002</v>
      </c>
      <c r="E15" s="192">
        <f t="shared" si="1"/>
        <v>0.16</v>
      </c>
    </row>
    <row r="16" spans="3:5">
      <c r="C16" s="191">
        <v>0.09</v>
      </c>
      <c r="D16" s="192">
        <f t="shared" si="0"/>
        <v>0.19</v>
      </c>
      <c r="E16" s="192">
        <f t="shared" si="1"/>
        <v>0.18000000000000002</v>
      </c>
    </row>
    <row r="17" spans="2:5">
      <c r="C17" s="191">
        <v>0.1</v>
      </c>
      <c r="D17" s="192">
        <f t="shared" si="0"/>
        <v>0.21000000000000002</v>
      </c>
      <c r="E17" s="192">
        <f t="shared" si="1"/>
        <v>0.19</v>
      </c>
    </row>
    <row r="18" spans="2:5">
      <c r="C18" s="191">
        <v>0.11</v>
      </c>
      <c r="D18" s="192">
        <f t="shared" si="0"/>
        <v>0.23</v>
      </c>
      <c r="E18" s="192">
        <f t="shared" si="1"/>
        <v>0.21000000000000002</v>
      </c>
    </row>
    <row r="19" spans="2:5">
      <c r="C19" s="191">
        <v>0.12</v>
      </c>
      <c r="D19" s="192">
        <f t="shared" si="0"/>
        <v>0.24000000000000002</v>
      </c>
      <c r="E19" s="192">
        <f t="shared" si="1"/>
        <v>0.22</v>
      </c>
    </row>
    <row r="20" spans="2:5">
      <c r="C20" s="191">
        <v>0.13</v>
      </c>
      <c r="D20" s="192">
        <f t="shared" si="0"/>
        <v>0.26</v>
      </c>
      <c r="E20" s="192">
        <f t="shared" si="1"/>
        <v>0.24000000000000002</v>
      </c>
    </row>
    <row r="21" spans="2:5">
      <c r="C21" s="191">
        <v>0.14000000000000001</v>
      </c>
      <c r="D21" s="192">
        <f t="shared" si="0"/>
        <v>0.28000000000000003</v>
      </c>
      <c r="E21" s="192">
        <f t="shared" si="1"/>
        <v>0.25</v>
      </c>
    </row>
    <row r="22" spans="2:5">
      <c r="C22" s="191">
        <v>0.15</v>
      </c>
      <c r="D22" s="192">
        <f t="shared" si="0"/>
        <v>0.29000000000000004</v>
      </c>
      <c r="E22" s="192">
        <f t="shared" si="1"/>
        <v>0.26</v>
      </c>
    </row>
    <row r="23" spans="2:5">
      <c r="C23" s="191">
        <v>0.16</v>
      </c>
      <c r="D23" s="192">
        <f t="shared" si="0"/>
        <v>0.31</v>
      </c>
      <c r="E23" s="192">
        <f t="shared" si="1"/>
        <v>0.28000000000000003</v>
      </c>
    </row>
    <row r="24" spans="2:5">
      <c r="C24" s="191">
        <v>0.17</v>
      </c>
      <c r="D24" s="192">
        <f t="shared" si="0"/>
        <v>0.33</v>
      </c>
      <c r="E24" s="192">
        <f t="shared" si="1"/>
        <v>0.29000000000000004</v>
      </c>
    </row>
    <row r="25" spans="2:5" ht="14.25" thickBot="1">
      <c r="C25" s="193">
        <v>0.18</v>
      </c>
      <c r="D25" s="194">
        <f t="shared" si="0"/>
        <v>0.34</v>
      </c>
      <c r="E25" s="194">
        <f t="shared" si="1"/>
        <v>0.31</v>
      </c>
    </row>
    <row r="27" spans="2:5">
      <c r="B27" t="s">
        <v>160</v>
      </c>
    </row>
    <row r="28" spans="2:5">
      <c r="B28" t="s">
        <v>161</v>
      </c>
    </row>
  </sheetData>
  <mergeCells count="1">
    <mergeCell ref="D9:E9"/>
  </mergeCells>
  <phoneticPr fontId="44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200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4</vt:i4>
      </vt:variant>
    </vt:vector>
  </HeadingPairs>
  <TitlesOfParts>
    <vt:vector size="13" baseType="lpstr">
      <vt:lpstr>工作図</vt:lpstr>
      <vt:lpstr>入力ｼｰﾄ</vt:lpstr>
      <vt:lpstr>貼付けｼｰﾄ</vt:lpstr>
      <vt:lpstr>歯厚計算</vt:lpstr>
      <vt:lpstr>歯厚計算２</vt:lpstr>
      <vt:lpstr>計算結果</vt:lpstr>
      <vt:lpstr>条件表2</vt:lpstr>
      <vt:lpstr>逆算</vt:lpstr>
      <vt:lpstr>切込量</vt:lpstr>
      <vt:lpstr>逆算!Print_Area</vt:lpstr>
      <vt:lpstr>工作図!Print_Area</vt:lpstr>
      <vt:lpstr>条件表2!Print_Area</vt:lpstr>
      <vt:lpstr>切込量!Print_Area</vt:lpstr>
    </vt:vector>
  </TitlesOfParts>
  <Company>ヤマハ発動機株式会社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浜北工場CS50PJ</dc:creator>
  <cp:lastModifiedBy>Administrator</cp:lastModifiedBy>
  <cp:lastPrinted>2014-10-02T09:10:37Z</cp:lastPrinted>
  <dcterms:created xsi:type="dcterms:W3CDTF">1996-08-23T23:05:03Z</dcterms:created>
  <dcterms:modified xsi:type="dcterms:W3CDTF">2022-11-07T13:32:24Z</dcterms:modified>
</cp:coreProperties>
</file>